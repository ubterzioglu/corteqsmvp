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Giderler" sheetId="2" state="visible" r:id="rId4"/>
    <sheet name="Gelirler" sheetId="3" state="visible" r:id="rId5"/>
    <sheet name="Kategoriler" sheetId="4" state="visible" r:id="rId6"/>
    <sheet name="Nakit Akışı" sheetId="5" state="visible" r:id="rId7"/>
  </sheets>
  <definedNames>
    <definedName function="false" hidden="false" name="Aylar" vbProcedure="false">Kategoriler!$H$2:$H$13</definedName>
    <definedName function="false" hidden="false" name="GelirKat" vbProcedure="false">Kategoriler!$B$2:$B$7</definedName>
    <definedName function="false" hidden="false" name="GiderKat" vbProcedure="false">Kategoriler!$A$2:$A$13</definedName>
    <definedName function="false" hidden="false" name="Kim" vbProcedure="false">Kategoriler!$G$2:$G$4</definedName>
    <definedName function="false" hidden="false" name="OdemeDurumuGelir" vbProcedure="false">Kategoriler!$E$2:$E$4</definedName>
    <definedName function="false" hidden="false" name="OdemeDurumuGider" vbProcedure="false">Kategoriler!$D$2:$D$4</definedName>
    <definedName function="false" hidden="false" name="OdemeYontem" vbProcedure="false">Kategoriler!$F$2:$F$8</definedName>
    <definedName function="false" hidden="false" name="ParaBirim" vbProcedure="false">Kategoriler!$C$2:$C$6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<sst xmlns="http://schemas.openxmlformats.org/spreadsheetml/2006/main" count="152" uniqueCount="108">
  <si>
    <t xml:space="preserve">CorteQS  —  Finansal Takip Paneli</t>
  </si>
  <si>
    <t xml:space="preserve">Şirket kurulana kadar geçici muhasebe  |  Burak &amp; Barış</t>
  </si>
  <si>
    <t xml:space="preserve">💸  Toplam Gider</t>
  </si>
  <si>
    <t xml:space="preserve">💰  Toplam Gelir</t>
  </si>
  <si>
    <t xml:space="preserve">📊  Net Pozisyon</t>
  </si>
  <si>
    <t xml:space="preserve">Tüm Zamanlar / TRY</t>
  </si>
  <si>
    <t xml:space="preserve">Gelir − Gider / TRY</t>
  </si>
  <si>
    <t xml:space="preserve">⏳  Bekleyen Gider</t>
  </si>
  <si>
    <t xml:space="preserve">⏳  Bekleyen Tahsilat</t>
  </si>
  <si>
    <t xml:space="preserve">🧾  Toplam Kayıt</t>
  </si>
  <si>
    <t xml:space="preserve">Henüz ödenmeyen / TRY</t>
  </si>
  <si>
    <t xml:space="preserve">Henüz tahsil edilmeyen / TRY</t>
  </si>
  <si>
    <t xml:space="preserve">Gider + Gelir girişi</t>
  </si>
  <si>
    <t xml:space="preserve">👤  Kişi Bazlı Giderler (TRY)</t>
  </si>
  <si>
    <t xml:space="preserve">Kişi</t>
  </si>
  <si>
    <t xml:space="preserve">Toplam Gider</t>
  </si>
  <si>
    <t xml:space="preserve">Ödendi</t>
  </si>
  <si>
    <t xml:space="preserve">Burak</t>
  </si>
  <si>
    <t xml:space="preserve">Barış</t>
  </si>
  <si>
    <t xml:space="preserve">Ortak</t>
  </si>
  <si>
    <t xml:space="preserve">📂  Kategori Bazlı Giderler (TRY)</t>
  </si>
  <si>
    <t xml:space="preserve">Kategori</t>
  </si>
  <si>
    <t xml:space="preserve">Toplam</t>
  </si>
  <si>
    <t xml:space="preserve">Kayıt Sayısı</t>
  </si>
  <si>
    <t xml:space="preserve">Yazılım &amp; Araçlar</t>
  </si>
  <si>
    <t xml:space="preserve">Hosting &amp; Sunucu</t>
  </si>
  <si>
    <t xml:space="preserve">Alan Adı &amp; SSL</t>
  </si>
  <si>
    <t xml:space="preserve">Pazarlama &amp; Reklam</t>
  </si>
  <si>
    <t xml:space="preserve">Hukuki &amp; Danışmanlık</t>
  </si>
  <si>
    <t xml:space="preserve">Muhasebe &amp; Finans</t>
  </si>
  <si>
    <t xml:space="preserve">Seyahat &amp; Ulaşım</t>
  </si>
  <si>
    <t xml:space="preserve">Ofis &amp; Kırtasiye</t>
  </si>
  <si>
    <t xml:space="preserve">Maaş &amp; Ücret</t>
  </si>
  <si>
    <t xml:space="preserve">ESOP &amp; Hisse</t>
  </si>
  <si>
    <t xml:space="preserve">Banka &amp; Komisyon</t>
  </si>
  <si>
    <t xml:space="preserve">Diğer Gider</t>
  </si>
  <si>
    <t xml:space="preserve">Son düzenleme: 22.04.2026  |  Gider ve Gelir sekmelerine veri girerek bu paneli güncel tutun.</t>
  </si>
  <si>
    <t xml:space="preserve">CorteQS — Gider Takibi</t>
  </si>
  <si>
    <t xml:space="preserve">Şirket kurulana kadar geçici muhasebe kaydı</t>
  </si>
  <si>
    <t xml:space="preserve">ID</t>
  </si>
  <si>
    <t xml:space="preserve">Tarih</t>
  </si>
  <si>
    <t xml:space="preserve">Ay</t>
  </si>
  <si>
    <t xml:space="preserve">Kim</t>
  </si>
  <si>
    <t xml:space="preserve">Açıklama</t>
  </si>
  <si>
    <t xml:space="preserve">Tutar</t>
  </si>
  <si>
    <t xml:space="preserve">Para Birimi</t>
  </si>
  <si>
    <t xml:space="preserve">Ödeme Durumu</t>
  </si>
  <si>
    <t xml:space="preserve">Ödeme Yöntemi</t>
  </si>
  <si>
    <t xml:space="preserve">Fatura/Link</t>
  </si>
  <si>
    <t xml:space="preserve">Not</t>
  </si>
  <si>
    <t xml:space="preserve">Sanal Kart?</t>
  </si>
  <si>
    <t xml:space="preserve">CorteQS — Gelir Takibi</t>
  </si>
  <si>
    <t xml:space="preserve">Müşteri/Kaynak</t>
  </si>
  <si>
    <t xml:space="preserve">Tahsilat Durumu</t>
  </si>
  <si>
    <t xml:space="preserve">Link/Kayıt</t>
  </si>
  <si>
    <t xml:space="preserve">Gider Kategorileri</t>
  </si>
  <si>
    <t xml:space="preserve">Gelir Kategorileri</t>
  </si>
  <si>
    <t xml:space="preserve">Ödeme Durumu (Gider)</t>
  </si>
  <si>
    <t xml:space="preserve">Ödeme Durumu (Gelir)</t>
  </si>
  <si>
    <t xml:space="preserve">Aylar</t>
  </si>
  <si>
    <t xml:space="preserve">Pilot Gelir</t>
  </si>
  <si>
    <t xml:space="preserve">TRY</t>
  </si>
  <si>
    <t xml:space="preserve">Tahsil Edildi</t>
  </si>
  <si>
    <t xml:space="preserve">Sanal Kart - Burak</t>
  </si>
  <si>
    <t xml:space="preserve">Ocak</t>
  </si>
  <si>
    <t xml:space="preserve">Danışmanlık Geliri</t>
  </si>
  <si>
    <t xml:space="preserve">USD</t>
  </si>
  <si>
    <t xml:space="preserve">Bekliyor</t>
  </si>
  <si>
    <t xml:space="preserve">Sanal Kart - Barış</t>
  </si>
  <si>
    <t xml:space="preserve">Şubat</t>
  </si>
  <si>
    <t xml:space="preserve">Hibe &amp; Grant</t>
  </si>
  <si>
    <t xml:space="preserve">EUR</t>
  </si>
  <si>
    <t xml:space="preserve">İptal</t>
  </si>
  <si>
    <t xml:space="preserve">Kişisel Kart - Burak</t>
  </si>
  <si>
    <t xml:space="preserve">Mart</t>
  </si>
  <si>
    <t xml:space="preserve">Yatırım Taahhüdü</t>
  </si>
  <si>
    <t xml:space="preserve">GBP</t>
  </si>
  <si>
    <t xml:space="preserve">Kişisel Kart - Barış</t>
  </si>
  <si>
    <t xml:space="preserve">Nisan</t>
  </si>
  <si>
    <t xml:space="preserve">Demo Geliri</t>
  </si>
  <si>
    <t xml:space="preserve">QAR</t>
  </si>
  <si>
    <t xml:space="preserve">Havale / EFT</t>
  </si>
  <si>
    <t xml:space="preserve">Mayıs</t>
  </si>
  <si>
    <t xml:space="preserve">Diğer Gelir</t>
  </si>
  <si>
    <t xml:space="preserve">Nakit</t>
  </si>
  <si>
    <t xml:space="preserve">Haziran</t>
  </si>
  <si>
    <t xml:space="preserve">Diğer</t>
  </si>
  <si>
    <t xml:space="preserve">Temmuz</t>
  </si>
  <si>
    <t xml:space="preserve">Ağustos</t>
  </si>
  <si>
    <t xml:space="preserve">Eylül</t>
  </si>
  <si>
    <t xml:space="preserve">Ekim</t>
  </si>
  <si>
    <t xml:space="preserve">Kasım</t>
  </si>
  <si>
    <t xml:space="preserve">Aralık</t>
  </si>
  <si>
    <t xml:space="preserve">CorteQS — Aylık Nakit Akışı</t>
  </si>
  <si>
    <t xml:space="preserve">Otomatik hesaplanan özet</t>
  </si>
  <si>
    <t xml:space="preserve">Kalem</t>
  </si>
  <si>
    <t xml:space="preserve">TOPLAM</t>
  </si>
  <si>
    <t xml:space="preserve">Toplam Gelir (TRY)</t>
  </si>
  <si>
    <t xml:space="preserve">Toplam Gider (TRY)</t>
  </si>
  <si>
    <t xml:space="preserve">Net Nakit Akışı</t>
  </si>
  <si>
    <t xml:space="preserve">Burak Giderleri</t>
  </si>
  <si>
    <t xml:space="preserve">Barış Giderleri</t>
  </si>
  <si>
    <t xml:space="preserve">Ortak Giderler</t>
  </si>
  <si>
    <t xml:space="preserve">Ödendi (Gider)</t>
  </si>
  <si>
    <t xml:space="preserve">Bekliyor (Gider)</t>
  </si>
  <si>
    <t xml:space="preserve">Tahsil Edildi (Gelir)</t>
  </si>
  <si>
    <t xml:space="preserve">Bekliyor (Gelir)</t>
  </si>
  <si>
    <t xml:space="preserve">* Nakit akışı yalnızca TRY işlemleri üzerinden hesaplanmaktadır. USD/EUR için ayrı sütun eklenebilir.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</si>
</sst>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General"/>
    <numFmt numFmtId="167" formatCode="dd/mm/yyyy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1"/>
      <color rgb="FF00D4A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E8534A"/>
      <name val="Arial"/>
      <family val="0"/>
      <charset val="1"/>
    </font>
    <font>
      <b val="true"/>
      <sz val="18"/>
      <color rgb="FF27AE60"/>
      <name val="Arial"/>
      <family val="0"/>
      <charset val="1"/>
    </font>
    <font>
      <b val="true"/>
      <sz val="18"/>
      <color rgb="FF4F6EF7"/>
      <name val="Arial"/>
      <family val="0"/>
      <charset val="1"/>
    </font>
    <font>
      <i val="true"/>
      <sz val="8"/>
      <color rgb="FF4A5568"/>
      <name val="Arial"/>
      <family val="0"/>
      <charset val="1"/>
    </font>
    <font>
      <b val="true"/>
      <sz val="18"/>
      <color rgb="FFF0C244"/>
      <name val="Arial"/>
      <family val="0"/>
      <charset val="1"/>
    </font>
    <font>
      <b val="true"/>
      <sz val="18"/>
      <color rgb="FF4A556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2535"/>
      <name val="Arial"/>
      <family val="0"/>
      <charset val="1"/>
    </font>
    <font>
      <sz val="10"/>
      <color rgb="FF1A2535"/>
      <name val="Arial"/>
      <family val="0"/>
      <charset val="1"/>
    </font>
    <font>
      <sz val="9"/>
      <color rgb="FF1A2535"/>
      <name val="Arial"/>
      <family val="0"/>
      <charset val="1"/>
    </font>
    <font>
      <i val="true"/>
      <sz val="9"/>
      <color rgb="FF4A5568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00D4AA"/>
      <name val="Arial"/>
      <family val="0"/>
      <charset val="1"/>
    </font>
    <font>
      <sz val="9"/>
      <color rgb="FF4A5568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b val="true"/>
      <sz val="10"/>
      <color rgb="FFE8534A"/>
      <name val="Arial"/>
      <family val="0"/>
      <charset val="1"/>
    </font>
    <font>
      <b val="true"/>
      <sz val="10"/>
      <color rgb="FF4F6EF7"/>
      <name val="Arial"/>
      <family val="0"/>
      <charset val="1"/>
    </font>
    <font>
      <sz val="10"/>
      <color rgb="FF4A5568"/>
      <name val="Arial"/>
      <family val="0"/>
      <charset val="1"/>
    </font>
    <font>
      <sz val="10"/>
      <color rgb="FF27AE60"/>
      <name val="Arial"/>
      <family val="0"/>
      <charset val="1"/>
    </font>
    <font>
      <sz val="10"/>
      <color rgb="FFF0C244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F1923"/>
        <bgColor rgb="FF1A2535"/>
      </patternFill>
    </fill>
    <fill>
      <patternFill patternType="solid">
        <fgColor rgb="FFE8534A"/>
        <bgColor rgb="FFFF8080"/>
      </patternFill>
    </fill>
    <fill>
      <patternFill patternType="solid">
        <fgColor rgb="FF27AE60"/>
        <bgColor rgb="FF008080"/>
      </patternFill>
    </fill>
    <fill>
      <patternFill patternType="solid">
        <fgColor rgb="FF4F6EF7"/>
        <bgColor rgb="FF0066CC"/>
      </patternFill>
    </fill>
    <fill>
      <patternFill patternType="solid">
        <fgColor rgb="FFFFFFFF"/>
        <bgColor rgb="FFF4F7FA"/>
      </patternFill>
    </fill>
    <fill>
      <patternFill patternType="solid">
        <fgColor rgb="FFF4F7FA"/>
        <bgColor rgb="FFEEF3F8"/>
      </patternFill>
    </fill>
    <fill>
      <patternFill patternType="solid">
        <fgColor rgb="FFF0C244"/>
        <bgColor rgb="FFFF9900"/>
      </patternFill>
    </fill>
    <fill>
      <patternFill patternType="solid">
        <fgColor rgb="FF4A5568"/>
        <bgColor rgb="FF333399"/>
      </patternFill>
    </fill>
    <fill>
      <patternFill patternType="solid">
        <fgColor rgb="FF00D4AA"/>
        <bgColor rgb="FF33CCCC"/>
      </patternFill>
    </fill>
    <fill>
      <patternFill patternType="solid">
        <fgColor rgb="FFEEF3F8"/>
        <bgColor rgb="FFF4F7F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9E0"/>
      </left>
      <right/>
      <top style="thin">
        <color rgb="FFD1D9E0"/>
      </top>
      <bottom style="thin">
        <color rgb="FFD1D9E0"/>
      </bottom>
      <diagonal/>
    </border>
    <border diagonalUp="false" diagonalDown="false">
      <left style="thin">
        <color rgb="FFD1D9E0"/>
      </left>
      <right style="thin">
        <color rgb="FFD1D9E0"/>
      </right>
      <top style="thin">
        <color rgb="FFD1D9E0"/>
      </top>
      <bottom style="thin">
        <color rgb="FFD1D9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3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11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6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color rgb="FF1A6B16"/>
      </font>
      <fill>
        <patternFill>
          <bgColor rgb="FFC8F7C5"/>
        </patternFill>
      </fill>
    </dxf>
    <dxf>
      <font>
        <name val="Arial"/>
        <charset val="1"/>
        <family val="0"/>
        <color rgb="FF7D6608"/>
      </font>
      <fill>
        <patternFill>
          <bgColor rgb="FFFEF9C3"/>
        </patternFill>
      </fill>
    </dxf>
    <dxf>
      <font>
        <name val="Arial"/>
        <charset val="1"/>
        <family val="0"/>
        <color rgb="FF8B2020"/>
      </font>
      <fill>
        <patternFill>
          <bgColor rgb="FFFDDEDE"/>
        </patternFill>
      </fill>
    </dxf>
    <dxf>
      <font>
        <name val="Arial"/>
        <charset val="1"/>
        <family val="0"/>
        <b val="1"/>
        <color rgb="FF8B2020"/>
      </font>
      <fill>
        <patternFill>
          <bgColor rgb="FFFDDEDE"/>
        </patternFill>
      </fill>
    </dxf>
    <dxf>
      <font>
        <name val="Arial"/>
        <charset val="1"/>
        <family val="0"/>
        <b val="1"/>
        <color rgb="FF1A6B16"/>
      </font>
      <fill>
        <patternFill>
          <bgColor rgb="FFC8F7C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16"/>
      <rgbColor rgb="FF000080"/>
      <rgbColor rgb="FF7D6608"/>
      <rgbColor rgb="FF800080"/>
      <rgbColor rgb="FF008080"/>
      <rgbColor rgb="FFC0C0C0"/>
      <rgbColor rgb="FF808080"/>
      <rgbColor rgb="FF9999FF"/>
      <rgbColor rgb="FF993366"/>
      <rgbColor rgb="FFFEF9C3"/>
      <rgbColor rgb="FFEEF3F8"/>
      <rgbColor rgb="FF660066"/>
      <rgbColor rgb="FFFF8080"/>
      <rgbColor rgb="FF0066CC"/>
      <rgbColor rgb="FFD1D9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D4AA"/>
      <rgbColor rgb="FFF4F7FA"/>
      <rgbColor rgb="FFC8F7C5"/>
      <rgbColor rgb="FFFFFF99"/>
      <rgbColor rgb="FF99CCFF"/>
      <rgbColor rgb="FFFF99CC"/>
      <rgbColor rgb="FFCC99FF"/>
      <rgbColor rgb="FFFDDEDE"/>
      <rgbColor rgb="FF4F6EF7"/>
      <rgbColor rgb="FF33CCCC"/>
      <rgbColor rgb="FF99CC00"/>
      <rgbColor rgb="FFF0C244"/>
      <rgbColor rgb="FFFF9900"/>
      <rgbColor rgb="FFE8534A"/>
      <rgbColor rgb="FF4A5568"/>
      <rgbColor rgb="FF969696"/>
      <rgbColor rgb="FF003366"/>
      <rgbColor rgb="FF27AE60"/>
      <rgbColor rgb="FF0F1923"/>
      <rgbColor rgb="FF333300"/>
      <rgbColor rgb="FF8B2020"/>
      <rgbColor rgb="FF993366"/>
      <rgbColor rgb="FF333399"/>
      <rgbColor rgb="FF1A25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"/>
    <col collapsed="false" customWidth="true" hidden="false" outlineLevel="0" max="7" min="5" style="0" width="16"/>
    <col collapsed="false" customWidth="true" hidden="false" outlineLevel="0" max="8" min="8" style="0" width="2"/>
    <col collapsed="false" customWidth="true" hidden="false" outlineLevel="0" max="12" min="9" style="0" width="16"/>
  </cols>
  <sheetData>
    <row r="1" customFormat="false" ht="5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.75" hidden="false" customHeight="true" outlineLevel="0" collapsed="false"/>
    <row r="4" customFormat="false" ht="21.75" hidden="false" customHeight="true" outlineLevel="0" collapsed="false">
      <c r="A4" s="3" t="s">
        <v>2</v>
      </c>
      <c r="B4" s="3"/>
      <c r="C4" s="3"/>
      <c r="E4" s="4" t="s">
        <v>3</v>
      </c>
      <c r="F4" s="4"/>
      <c r="G4" s="4"/>
      <c r="I4" s="5" t="s">
        <v>4</v>
      </c>
      <c r="J4" s="5"/>
      <c r="K4" s="5"/>
    </row>
    <row r="5" customFormat="false" ht="36" hidden="false" customHeight="true" outlineLevel="0" collapsed="false">
      <c r="A5" s="6" t="n">
        <f aca="false">IFERROR(SUMPRODUCT((Giderler!H$4:H$203="TRY")*Giderler!G$4:G$203),0)</f>
        <v>0</v>
      </c>
      <c r="B5" s="6"/>
      <c r="C5" s="6"/>
      <c r="E5" s="7" t="n">
        <f aca="false">IFERROR(SUMPRODUCT((Gelirler!H$4:H$203="TRY")*Gelirler!G$4:G$203),0)</f>
        <v>0</v>
      </c>
      <c r="F5" s="7"/>
      <c r="G5" s="7"/>
      <c r="I5" s="8" t="n">
        <f aca="false">IFERROR(SUMPRODUCT((Gelirler!H$4:H$203="TRY")*Gelirler!G$4:G$203),0)-IFERROR(SUMPRODUCT((Giderler!H$4:H$203="TRY")*Giderler!G$4:G$203),0)</f>
        <v>0</v>
      </c>
      <c r="J5" s="8"/>
      <c r="K5" s="8"/>
    </row>
    <row r="6" customFormat="false" ht="18" hidden="false" customHeight="true" outlineLevel="0" collapsed="false">
      <c r="A6" s="9" t="s">
        <v>5</v>
      </c>
      <c r="B6" s="9"/>
      <c r="C6" s="9"/>
      <c r="E6" s="9" t="s">
        <v>5</v>
      </c>
      <c r="F6" s="9"/>
      <c r="G6" s="9"/>
      <c r="I6" s="9" t="s">
        <v>6</v>
      </c>
      <c r="J6" s="9"/>
      <c r="K6" s="9"/>
    </row>
    <row r="7" customFormat="false" ht="12" hidden="false" customHeight="true" outlineLevel="0" collapsed="false"/>
    <row r="8" customFormat="false" ht="21.75" hidden="false" customHeight="true" outlineLevel="0" collapsed="false">
      <c r="A8" s="10" t="s">
        <v>7</v>
      </c>
      <c r="B8" s="10"/>
      <c r="C8" s="10"/>
      <c r="E8" s="10" t="s">
        <v>8</v>
      </c>
      <c r="F8" s="10"/>
      <c r="G8" s="10"/>
      <c r="I8" s="11" t="s">
        <v>9</v>
      </c>
      <c r="J8" s="11"/>
      <c r="K8" s="11"/>
    </row>
    <row r="9" customFormat="false" ht="36" hidden="false" customHeight="true" outlineLevel="0" collapsed="false">
      <c r="A9" s="12" t="n">
        <f aca="false">IFERROR(SUMPRODUCT((Giderler!I$4:I$203="Bekliyor")*(Giderler!H$4:H$203="TRY")*Giderler!G$4:G$203),0)</f>
        <v>0</v>
      </c>
      <c r="B9" s="12"/>
      <c r="C9" s="12"/>
      <c r="E9" s="12" t="n">
        <f aca="false">IFERROR(SUMPRODUCT((Gelirler!I$4:I$203="Bekliyor")*(Gelirler!H$4:H$203="TRY")*Gelirler!G$4:G$203),0)</f>
        <v>0</v>
      </c>
      <c r="F9" s="12"/>
      <c r="G9" s="12"/>
      <c r="I9" s="13" t="n">
        <f aca="false">COUNTA(Giderler!B4:B203)+COUNTA(Gelirler!B4:B203)</f>
        <v>0</v>
      </c>
      <c r="J9" s="13"/>
      <c r="K9" s="13"/>
    </row>
    <row r="10" customFormat="false" ht="18" hidden="false" customHeight="true" outlineLevel="0" collapsed="false">
      <c r="A10" s="9" t="s">
        <v>10</v>
      </c>
      <c r="B10" s="9"/>
      <c r="C10" s="9"/>
      <c r="E10" s="9" t="s">
        <v>11</v>
      </c>
      <c r="F10" s="9"/>
      <c r="G10" s="9"/>
      <c r="I10" s="9" t="s">
        <v>12</v>
      </c>
      <c r="J10" s="9"/>
      <c r="K10" s="9"/>
    </row>
    <row r="11" customFormat="false" ht="12" hidden="false" customHeight="true" outlineLevel="0" collapsed="false"/>
    <row r="12" customFormat="false" ht="21.75" hidden="false" customHeight="true" outlineLevel="0" collapsed="false">
      <c r="A12" s="14" t="s">
        <v>13</v>
      </c>
      <c r="B12" s="14"/>
      <c r="C12" s="14"/>
    </row>
    <row r="13" customFormat="false" ht="19.5" hidden="false" customHeight="true" outlineLevel="0" collapsed="false">
      <c r="A13" s="15" t="s">
        <v>14</v>
      </c>
      <c r="B13" s="15" t="s">
        <v>15</v>
      </c>
      <c r="C13" s="15" t="s">
        <v>16</v>
      </c>
    </row>
    <row r="14" customFormat="false" ht="21.75" hidden="false" customHeight="true" outlineLevel="0" collapsed="false">
      <c r="A14" s="16" t="s">
        <v>17</v>
      </c>
      <c r="B14" s="17" t="n">
        <f aca="false">IFERROR(SUMPRODUCT((Giderler!D$4:D$203="Burak")*(Giderler!H$4:H$203="TRY")*Giderler!G$4:G$203),0)</f>
        <v>0</v>
      </c>
      <c r="C14" s="17" t="n">
        <f aca="false">IFERROR(SUMPRODUCT((Giderler!D$4:D$203="Burak")*(Giderler!I$4:I$203="Ödendi")*(Giderler!H$4:H$203="TRY")*Giderler!G$4:G$203),0)</f>
        <v>0</v>
      </c>
    </row>
    <row r="15" customFormat="false" ht="21.75" hidden="false" customHeight="true" outlineLevel="0" collapsed="false">
      <c r="A15" s="16" t="s">
        <v>18</v>
      </c>
      <c r="B15" s="17" t="n">
        <f aca="false">IFERROR(SUMPRODUCT((Giderler!D$4:D$203="Barış")*(Giderler!H$4:H$203="TRY")*Giderler!G$4:G$203),0)</f>
        <v>0</v>
      </c>
      <c r="C15" s="17" t="n">
        <f aca="false">IFERROR(SUMPRODUCT((Giderler!D$4:D$203="Barış")*(Giderler!I$4:I$203="Ödendi")*(Giderler!H$4:H$203="TRY")*Giderler!G$4:G$203),0)</f>
        <v>0</v>
      </c>
    </row>
    <row r="16" customFormat="false" ht="21.75" hidden="false" customHeight="true" outlineLevel="0" collapsed="false">
      <c r="A16" s="16" t="s">
        <v>19</v>
      </c>
      <c r="B16" s="17" t="n">
        <f aca="false">IFERROR(SUMPRODUCT((Giderler!D$4:D$203="Ortak")*(Giderler!H$4:H$203="TRY")*Giderler!G$4:G$203),0)</f>
        <v>0</v>
      </c>
      <c r="C16" s="17" t="n">
        <f aca="false">IFERROR(SUMPRODUCT((Giderler!D$4:D$203="Ortak")*(Giderler!I$4:I$203="Ödendi")*(Giderler!H$4:H$203="TRY")*Giderler!G$4:G$203),0)</f>
        <v>0</v>
      </c>
    </row>
    <row r="17" customFormat="false" ht="12" hidden="false" customHeight="true" outlineLevel="0" collapsed="false"/>
    <row r="18" customFormat="false" ht="21.75" hidden="false" customHeight="true" outlineLevel="0" collapsed="false">
      <c r="A18" s="14" t="s">
        <v>20</v>
      </c>
      <c r="B18" s="14"/>
      <c r="C18" s="14"/>
    </row>
    <row r="19" customFormat="false" ht="19.5" hidden="false" customHeight="true" outlineLevel="0" collapsed="false">
      <c r="A19" s="15" t="s">
        <v>21</v>
      </c>
      <c r="B19" s="15" t="s">
        <v>22</v>
      </c>
      <c r="C19" s="15" t="s">
        <v>23</v>
      </c>
    </row>
    <row r="20" customFormat="false" ht="19.5" hidden="false" customHeight="true" outlineLevel="0" collapsed="false">
      <c r="A20" s="18" t="s">
        <v>24</v>
      </c>
      <c r="B20" s="19" t="n">
        <f aca="false">IFERROR(SUMPRODUCT((Giderler!E$4:E$203="Yazılım &amp; Araçlar")*(Giderler!H$4:H$203="TRY")*Giderler!G$4:G$203),0)</f>
        <v>0</v>
      </c>
      <c r="C20" s="20" t="n">
        <f aca="false">COUNTIF(Giderler!E$4:E$203,"Yazılım &amp; Araçlar")</f>
        <v>0</v>
      </c>
    </row>
    <row r="21" customFormat="false" ht="19.5" hidden="false" customHeight="true" outlineLevel="0" collapsed="false">
      <c r="A21" s="21" t="s">
        <v>25</v>
      </c>
      <c r="B21" s="17" t="n">
        <f aca="false">IFERROR(SUMPRODUCT((Giderler!E$4:E$203="Hosting &amp; Sunucu")*(Giderler!H$4:H$203="TRY")*Giderler!G$4:G$203),0)</f>
        <v>0</v>
      </c>
      <c r="C21" s="22" t="n">
        <f aca="false">COUNTIF(Giderler!E$4:E$203,"Hosting &amp; Sunucu")</f>
        <v>0</v>
      </c>
    </row>
    <row r="22" customFormat="false" ht="19.5" hidden="false" customHeight="true" outlineLevel="0" collapsed="false">
      <c r="A22" s="18" t="s">
        <v>26</v>
      </c>
      <c r="B22" s="19" t="n">
        <f aca="false">IFERROR(SUMPRODUCT((Giderler!E$4:E$203="Alan Adı &amp; SSL")*(Giderler!H$4:H$203="TRY")*Giderler!G$4:G$203),0)</f>
        <v>0</v>
      </c>
      <c r="C22" s="20" t="n">
        <f aca="false">COUNTIF(Giderler!E$4:E$203,"Alan Adı &amp; SSL")</f>
        <v>0</v>
      </c>
    </row>
    <row r="23" customFormat="false" ht="19.5" hidden="false" customHeight="true" outlineLevel="0" collapsed="false">
      <c r="A23" s="21" t="s">
        <v>27</v>
      </c>
      <c r="B23" s="17" t="n">
        <f aca="false">IFERROR(SUMPRODUCT((Giderler!E$4:E$203="Pazarlama &amp; Reklam")*(Giderler!H$4:H$203="TRY")*Giderler!G$4:G$203),0)</f>
        <v>0</v>
      </c>
      <c r="C23" s="22" t="n">
        <f aca="false">COUNTIF(Giderler!E$4:E$203,"Pazarlama &amp; Reklam")</f>
        <v>0</v>
      </c>
    </row>
    <row r="24" customFormat="false" ht="19.5" hidden="false" customHeight="true" outlineLevel="0" collapsed="false">
      <c r="A24" s="18" t="s">
        <v>28</v>
      </c>
      <c r="B24" s="19" t="n">
        <f aca="false">IFERROR(SUMPRODUCT((Giderler!E$4:E$203="Hukuki &amp; Danışmanlık")*(Giderler!H$4:H$203="TRY")*Giderler!G$4:G$203),0)</f>
        <v>0</v>
      </c>
      <c r="C24" s="20" t="n">
        <f aca="false">COUNTIF(Giderler!E$4:E$203,"Hukuki &amp; Danışmanlık")</f>
        <v>0</v>
      </c>
    </row>
    <row r="25" customFormat="false" ht="19.5" hidden="false" customHeight="true" outlineLevel="0" collapsed="false">
      <c r="A25" s="21" t="s">
        <v>29</v>
      </c>
      <c r="B25" s="17" t="n">
        <f aca="false">IFERROR(SUMPRODUCT((Giderler!E$4:E$203="Muhasebe &amp; Finans")*(Giderler!H$4:H$203="TRY")*Giderler!G$4:G$203),0)</f>
        <v>0</v>
      </c>
      <c r="C25" s="22" t="n">
        <f aca="false">COUNTIF(Giderler!E$4:E$203,"Muhasebe &amp; Finans")</f>
        <v>0</v>
      </c>
    </row>
    <row r="26" customFormat="false" ht="19.5" hidden="false" customHeight="true" outlineLevel="0" collapsed="false">
      <c r="A26" s="18" t="s">
        <v>30</v>
      </c>
      <c r="B26" s="19" t="n">
        <f aca="false">IFERROR(SUMPRODUCT((Giderler!E$4:E$203="Seyahat &amp; Ulaşım")*(Giderler!H$4:H$203="TRY")*Giderler!G$4:G$203),0)</f>
        <v>0</v>
      </c>
      <c r="C26" s="20" t="n">
        <f aca="false">COUNTIF(Giderler!E$4:E$203,"Seyahat &amp; Ulaşım")</f>
        <v>0</v>
      </c>
    </row>
    <row r="27" customFormat="false" ht="19.5" hidden="false" customHeight="true" outlineLevel="0" collapsed="false">
      <c r="A27" s="21" t="s">
        <v>31</v>
      </c>
      <c r="B27" s="17" t="n">
        <f aca="false">IFERROR(SUMPRODUCT((Giderler!E$4:E$203="Ofis &amp; Kırtasiye")*(Giderler!H$4:H$203="TRY")*Giderler!G$4:G$203),0)</f>
        <v>0</v>
      </c>
      <c r="C27" s="22" t="n">
        <f aca="false">COUNTIF(Giderler!E$4:E$203,"Ofis &amp; Kırtasiye")</f>
        <v>0</v>
      </c>
    </row>
    <row r="28" customFormat="false" ht="19.5" hidden="false" customHeight="true" outlineLevel="0" collapsed="false">
      <c r="A28" s="18" t="s">
        <v>32</v>
      </c>
      <c r="B28" s="19" t="n">
        <f aca="false">IFERROR(SUMPRODUCT((Giderler!E$4:E$203="Maaş &amp; Ücret")*(Giderler!H$4:H$203="TRY")*Giderler!G$4:G$203),0)</f>
        <v>0</v>
      </c>
      <c r="C28" s="20" t="n">
        <f aca="false">COUNTIF(Giderler!E$4:E$203,"Maaş &amp; Ücret")</f>
        <v>0</v>
      </c>
    </row>
    <row r="29" customFormat="false" ht="19.5" hidden="false" customHeight="true" outlineLevel="0" collapsed="false">
      <c r="A29" s="21" t="s">
        <v>33</v>
      </c>
      <c r="B29" s="17" t="n">
        <f aca="false">IFERROR(SUMPRODUCT((Giderler!E$4:E$203="ESOP &amp; Hisse")*(Giderler!H$4:H$203="TRY")*Giderler!G$4:G$203),0)</f>
        <v>0</v>
      </c>
      <c r="C29" s="22" t="n">
        <f aca="false">COUNTIF(Giderler!E$4:E$203,"ESOP &amp; Hisse")</f>
        <v>0</v>
      </c>
    </row>
    <row r="30" customFormat="false" ht="19.5" hidden="false" customHeight="true" outlineLevel="0" collapsed="false">
      <c r="A30" s="18" t="s">
        <v>34</v>
      </c>
      <c r="B30" s="19" t="n">
        <f aca="false">IFERROR(SUMPRODUCT((Giderler!E$4:E$203="Banka &amp; Komisyon")*(Giderler!H$4:H$203="TRY")*Giderler!G$4:G$203),0)</f>
        <v>0</v>
      </c>
      <c r="C30" s="20" t="n">
        <f aca="false">COUNTIF(Giderler!E$4:E$203,"Banka &amp; Komisyon")</f>
        <v>0</v>
      </c>
    </row>
    <row r="31" customFormat="false" ht="19.5" hidden="false" customHeight="true" outlineLevel="0" collapsed="false">
      <c r="A31" s="21" t="s">
        <v>35</v>
      </c>
      <c r="B31" s="17" t="n">
        <f aca="false">IFERROR(SUMPRODUCT((Giderler!E$4:E$203="Diğer Gider")*(Giderler!H$4:H$203="TRY")*Giderler!G$4:G$203),0)</f>
        <v>0</v>
      </c>
      <c r="C31" s="22" t="n">
        <f aca="false">COUNTIF(Giderler!E$4:E$203,"Diğer Gider")</f>
        <v>0</v>
      </c>
    </row>
    <row r="33" customFormat="false" ht="21.75" hidden="false" customHeight="true" outlineLevel="0" collapsed="false">
      <c r="A33" s="23" t="s">
        <v>36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</row>
  </sheetData>
  <mergeCells count="23">
    <mergeCell ref="A1:L1"/>
    <mergeCell ref="A2:L2"/>
    <mergeCell ref="A4:C4"/>
    <mergeCell ref="E4:G4"/>
    <mergeCell ref="I4:K4"/>
    <mergeCell ref="A5:C5"/>
    <mergeCell ref="E5:G5"/>
    <mergeCell ref="I5:K5"/>
    <mergeCell ref="A6:C6"/>
    <mergeCell ref="E6:G6"/>
    <mergeCell ref="I6:K6"/>
    <mergeCell ref="A8:C8"/>
    <mergeCell ref="E8:G8"/>
    <mergeCell ref="I8:K8"/>
    <mergeCell ref="A9:C9"/>
    <mergeCell ref="E9:G9"/>
    <mergeCell ref="I9:K9"/>
    <mergeCell ref="A10:C10"/>
    <mergeCell ref="E10:G10"/>
    <mergeCell ref="I10:K10"/>
    <mergeCell ref="A12:C12"/>
    <mergeCell ref="A18:C18"/>
    <mergeCell ref="A33:L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5" min="5" style="0" width="20"/>
    <col collapsed="false" customWidth="true" hidden="false" outlineLevel="0" max="6" min="6" style="0" width="28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22"/>
    <col collapsed="false" customWidth="true" hidden="false" outlineLevel="0" max="12" min="11" style="0" width="24"/>
    <col collapsed="false" customWidth="true" hidden="false" outlineLevel="0" max="13" min="13" style="0" width="12"/>
  </cols>
  <sheetData>
    <row r="1" customFormat="false" ht="43.5" hidden="false" customHeight="true" outlineLevel="0" collapsed="false">
      <c r="A1" s="24" t="s">
        <v>37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customFormat="false" ht="21.75" hidden="false" customHeight="true" outlineLevel="0" collapsed="false">
      <c r="A2" s="25" t="s">
        <v>38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customFormat="false" ht="30" hidden="false" customHeight="true" outlineLevel="0" collapsed="false">
      <c r="A3" s="15" t="s">
        <v>39</v>
      </c>
      <c r="B3" s="15" t="s">
        <v>40</v>
      </c>
      <c r="C3" s="15" t="s">
        <v>41</v>
      </c>
      <c r="D3" s="15" t="s">
        <v>42</v>
      </c>
      <c r="E3" s="15" t="s">
        <v>21</v>
      </c>
      <c r="F3" s="15" t="s">
        <v>43</v>
      </c>
      <c r="G3" s="15" t="s">
        <v>44</v>
      </c>
      <c r="H3" s="15" t="s">
        <v>45</v>
      </c>
      <c r="I3" s="15" t="s">
        <v>46</v>
      </c>
      <c r="J3" s="15" t="s">
        <v>47</v>
      </c>
      <c r="K3" s="15" t="s">
        <v>48</v>
      </c>
      <c r="L3" s="15" t="s">
        <v>49</v>
      </c>
      <c r="M3" s="15" t="s">
        <v>50</v>
      </c>
    </row>
    <row r="4" customFormat="false" ht="15" hidden="false" customHeight="false" outlineLevel="0" collapsed="false">
      <c r="A4" s="26" t="str">
        <f aca="false">IF(C4&lt;&gt;"","G-"&amp;TEXT(ROW()-3,"000"),"")</f>
        <v/>
      </c>
      <c r="B4" s="27"/>
      <c r="C4" s="28"/>
      <c r="D4" s="28"/>
      <c r="E4" s="28"/>
      <c r="F4" s="28"/>
      <c r="G4" s="29"/>
      <c r="H4" s="30"/>
      <c r="I4" s="30"/>
      <c r="J4" s="28"/>
      <c r="K4" s="28"/>
      <c r="L4" s="28"/>
      <c r="M4" s="30"/>
    </row>
    <row r="5" customFormat="false" ht="15" hidden="false" customHeight="false" outlineLevel="0" collapsed="false">
      <c r="A5" s="26" t="str">
        <f aca="false">IF(C5&lt;&gt;"","G-"&amp;TEXT(ROW()-3,"000"),"")</f>
        <v/>
      </c>
      <c r="B5" s="31"/>
      <c r="C5" s="32"/>
      <c r="D5" s="32"/>
      <c r="E5" s="32"/>
      <c r="F5" s="32"/>
      <c r="G5" s="17"/>
      <c r="H5" s="33"/>
      <c r="I5" s="33"/>
      <c r="J5" s="32"/>
      <c r="K5" s="32"/>
      <c r="L5" s="32"/>
      <c r="M5" s="33"/>
    </row>
    <row r="6" customFormat="false" ht="15" hidden="false" customHeight="false" outlineLevel="0" collapsed="false">
      <c r="A6" s="26" t="str">
        <f aca="false">IF(C6&lt;&gt;"","G-"&amp;TEXT(ROW()-3,"000"),"")</f>
        <v/>
      </c>
      <c r="B6" s="27"/>
      <c r="C6" s="28"/>
      <c r="D6" s="28"/>
      <c r="E6" s="28"/>
      <c r="F6" s="28"/>
      <c r="G6" s="29"/>
      <c r="H6" s="30"/>
      <c r="I6" s="30"/>
      <c r="J6" s="28"/>
      <c r="K6" s="28"/>
      <c r="L6" s="28"/>
      <c r="M6" s="30"/>
    </row>
    <row r="7" customFormat="false" ht="15" hidden="false" customHeight="false" outlineLevel="0" collapsed="false">
      <c r="A7" s="26" t="str">
        <f aca="false">IF(C7&lt;&gt;"","G-"&amp;TEXT(ROW()-3,"000"),"")</f>
        <v/>
      </c>
      <c r="B7" s="31"/>
      <c r="C7" s="32"/>
      <c r="D7" s="32"/>
      <c r="E7" s="32"/>
      <c r="F7" s="32"/>
      <c r="G7" s="17"/>
      <c r="H7" s="33"/>
      <c r="I7" s="33"/>
      <c r="J7" s="32"/>
      <c r="K7" s="32"/>
      <c r="L7" s="32"/>
      <c r="M7" s="33"/>
    </row>
    <row r="8" customFormat="false" ht="15" hidden="false" customHeight="false" outlineLevel="0" collapsed="false">
      <c r="A8" s="26" t="str">
        <f aca="false">IF(C8&lt;&gt;"","G-"&amp;TEXT(ROW()-3,"000"),"")</f>
        <v/>
      </c>
      <c r="B8" s="27"/>
      <c r="C8" s="28"/>
      <c r="D8" s="28"/>
      <c r="E8" s="28"/>
      <c r="F8" s="28"/>
      <c r="G8" s="29"/>
      <c r="H8" s="30"/>
      <c r="I8" s="30"/>
      <c r="J8" s="28"/>
      <c r="K8" s="28"/>
      <c r="L8" s="28"/>
      <c r="M8" s="30"/>
    </row>
    <row r="9" customFormat="false" ht="15" hidden="false" customHeight="false" outlineLevel="0" collapsed="false">
      <c r="A9" s="26" t="str">
        <f aca="false">IF(C9&lt;&gt;"","G-"&amp;TEXT(ROW()-3,"000"),"")</f>
        <v/>
      </c>
      <c r="B9" s="31"/>
      <c r="C9" s="32"/>
      <c r="D9" s="32"/>
      <c r="E9" s="32"/>
      <c r="F9" s="32"/>
      <c r="G9" s="17"/>
      <c r="H9" s="33"/>
      <c r="I9" s="33"/>
      <c r="J9" s="32"/>
      <c r="K9" s="32"/>
      <c r="L9" s="32"/>
      <c r="M9" s="33"/>
    </row>
    <row r="10" customFormat="false" ht="15" hidden="false" customHeight="false" outlineLevel="0" collapsed="false">
      <c r="A10" s="26" t="str">
        <f aca="false">IF(C10&lt;&gt;"","G-"&amp;TEXT(ROW()-3,"000"),"")</f>
        <v/>
      </c>
      <c r="B10" s="27"/>
      <c r="C10" s="28"/>
      <c r="D10" s="28"/>
      <c r="E10" s="28"/>
      <c r="F10" s="28"/>
      <c r="G10" s="29"/>
      <c r="H10" s="30"/>
      <c r="I10" s="30"/>
      <c r="J10" s="28"/>
      <c r="K10" s="28"/>
      <c r="L10" s="28"/>
      <c r="M10" s="30"/>
    </row>
    <row r="11" customFormat="false" ht="15" hidden="false" customHeight="false" outlineLevel="0" collapsed="false">
      <c r="A11" s="26" t="str">
        <f aca="false">IF(C11&lt;&gt;"","G-"&amp;TEXT(ROW()-3,"000"),"")</f>
        <v/>
      </c>
      <c r="B11" s="31"/>
      <c r="C11" s="32"/>
      <c r="D11" s="32"/>
      <c r="E11" s="32"/>
      <c r="F11" s="32"/>
      <c r="G11" s="17"/>
      <c r="H11" s="33"/>
      <c r="I11" s="33"/>
      <c r="J11" s="32"/>
      <c r="K11" s="32"/>
      <c r="L11" s="32"/>
      <c r="M11" s="33"/>
    </row>
    <row r="12" customFormat="false" ht="15" hidden="false" customHeight="false" outlineLevel="0" collapsed="false">
      <c r="A12" s="26" t="str">
        <f aca="false">IF(C12&lt;&gt;"","G-"&amp;TEXT(ROW()-3,"000"),"")</f>
        <v/>
      </c>
      <c r="B12" s="27"/>
      <c r="C12" s="28"/>
      <c r="D12" s="28"/>
      <c r="E12" s="28"/>
      <c r="F12" s="28"/>
      <c r="G12" s="29"/>
      <c r="H12" s="30"/>
      <c r="I12" s="30"/>
      <c r="J12" s="28"/>
      <c r="K12" s="28"/>
      <c r="L12" s="28"/>
      <c r="M12" s="30"/>
    </row>
    <row r="13" customFormat="false" ht="15" hidden="false" customHeight="false" outlineLevel="0" collapsed="false">
      <c r="A13" s="26" t="str">
        <f aca="false">IF(C13&lt;&gt;"","G-"&amp;TEXT(ROW()-3,"000"),"")</f>
        <v/>
      </c>
      <c r="B13" s="31"/>
      <c r="C13" s="32"/>
      <c r="D13" s="32"/>
      <c r="E13" s="32"/>
      <c r="F13" s="32"/>
      <c r="G13" s="17"/>
      <c r="H13" s="33"/>
      <c r="I13" s="33"/>
      <c r="J13" s="32"/>
      <c r="K13" s="32"/>
      <c r="L13" s="32"/>
      <c r="M13" s="33"/>
    </row>
    <row r="14" customFormat="false" ht="15" hidden="false" customHeight="false" outlineLevel="0" collapsed="false">
      <c r="A14" s="26" t="str">
        <f aca="false">IF(C14&lt;&gt;"","G-"&amp;TEXT(ROW()-3,"000"),"")</f>
        <v/>
      </c>
      <c r="B14" s="27"/>
      <c r="C14" s="28"/>
      <c r="D14" s="28"/>
      <c r="E14" s="28"/>
      <c r="F14" s="28"/>
      <c r="G14" s="29"/>
      <c r="H14" s="30"/>
      <c r="I14" s="30"/>
      <c r="J14" s="28"/>
      <c r="K14" s="28"/>
      <c r="L14" s="28"/>
      <c r="M14" s="30"/>
    </row>
    <row r="15" customFormat="false" ht="15" hidden="false" customHeight="false" outlineLevel="0" collapsed="false">
      <c r="A15" s="26" t="str">
        <f aca="false">IF(C15&lt;&gt;"","G-"&amp;TEXT(ROW()-3,"000"),"")</f>
        <v/>
      </c>
      <c r="B15" s="31"/>
      <c r="C15" s="32"/>
      <c r="D15" s="32"/>
      <c r="E15" s="32"/>
      <c r="F15" s="32"/>
      <c r="G15" s="17"/>
      <c r="H15" s="33"/>
      <c r="I15" s="33"/>
      <c r="J15" s="32"/>
      <c r="K15" s="32"/>
      <c r="L15" s="32"/>
      <c r="M15" s="33"/>
    </row>
    <row r="16" customFormat="false" ht="15" hidden="false" customHeight="false" outlineLevel="0" collapsed="false">
      <c r="A16" s="26" t="str">
        <f aca="false">IF(C16&lt;&gt;"","G-"&amp;TEXT(ROW()-3,"000"),"")</f>
        <v/>
      </c>
      <c r="B16" s="27"/>
      <c r="C16" s="28"/>
      <c r="D16" s="28"/>
      <c r="E16" s="28"/>
      <c r="F16" s="28"/>
      <c r="G16" s="29"/>
      <c r="H16" s="30"/>
      <c r="I16" s="30"/>
      <c r="J16" s="28"/>
      <c r="K16" s="28"/>
      <c r="L16" s="28"/>
      <c r="M16" s="30"/>
    </row>
    <row r="17" customFormat="false" ht="15" hidden="false" customHeight="false" outlineLevel="0" collapsed="false">
      <c r="A17" s="26" t="str">
        <f aca="false">IF(C17&lt;&gt;"","G-"&amp;TEXT(ROW()-3,"000"),"")</f>
        <v/>
      </c>
      <c r="B17" s="31"/>
      <c r="C17" s="32"/>
      <c r="D17" s="32"/>
      <c r="E17" s="32"/>
      <c r="F17" s="32"/>
      <c r="G17" s="17"/>
      <c r="H17" s="33"/>
      <c r="I17" s="33"/>
      <c r="J17" s="32"/>
      <c r="K17" s="32"/>
      <c r="L17" s="32"/>
      <c r="M17" s="33"/>
    </row>
    <row r="18" customFormat="false" ht="15" hidden="false" customHeight="false" outlineLevel="0" collapsed="false">
      <c r="A18" s="26" t="str">
        <f aca="false">IF(C18&lt;&gt;"","G-"&amp;TEXT(ROW()-3,"000"),"")</f>
        <v/>
      </c>
      <c r="B18" s="27"/>
      <c r="C18" s="28"/>
      <c r="D18" s="28"/>
      <c r="E18" s="28"/>
      <c r="F18" s="28"/>
      <c r="G18" s="29"/>
      <c r="H18" s="30"/>
      <c r="I18" s="30"/>
      <c r="J18" s="28"/>
      <c r="K18" s="28"/>
      <c r="L18" s="28"/>
      <c r="M18" s="30"/>
    </row>
    <row r="19" customFormat="false" ht="15" hidden="false" customHeight="false" outlineLevel="0" collapsed="false">
      <c r="A19" s="26" t="str">
        <f aca="false">IF(C19&lt;&gt;"","G-"&amp;TEXT(ROW()-3,"000"),"")</f>
        <v/>
      </c>
      <c r="B19" s="31"/>
      <c r="C19" s="32"/>
      <c r="D19" s="32"/>
      <c r="E19" s="32"/>
      <c r="F19" s="32"/>
      <c r="G19" s="17"/>
      <c r="H19" s="33"/>
      <c r="I19" s="33"/>
      <c r="J19" s="32"/>
      <c r="K19" s="32"/>
      <c r="L19" s="32"/>
      <c r="M19" s="33"/>
    </row>
    <row r="20" customFormat="false" ht="15" hidden="false" customHeight="false" outlineLevel="0" collapsed="false">
      <c r="A20" s="26" t="str">
        <f aca="false">IF(C20&lt;&gt;"","G-"&amp;TEXT(ROW()-3,"000"),"")</f>
        <v/>
      </c>
      <c r="B20" s="27"/>
      <c r="C20" s="28"/>
      <c r="D20" s="28"/>
      <c r="E20" s="28"/>
      <c r="F20" s="28"/>
      <c r="G20" s="29"/>
      <c r="H20" s="30"/>
      <c r="I20" s="30"/>
      <c r="J20" s="28"/>
      <c r="K20" s="28"/>
      <c r="L20" s="28"/>
      <c r="M20" s="30"/>
    </row>
    <row r="21" customFormat="false" ht="15" hidden="false" customHeight="false" outlineLevel="0" collapsed="false">
      <c r="A21" s="26" t="str">
        <f aca="false">IF(C21&lt;&gt;"","G-"&amp;TEXT(ROW()-3,"000"),"")</f>
        <v/>
      </c>
      <c r="B21" s="31"/>
      <c r="C21" s="32"/>
      <c r="D21" s="32"/>
      <c r="E21" s="32"/>
      <c r="F21" s="32"/>
      <c r="G21" s="17"/>
      <c r="H21" s="33"/>
      <c r="I21" s="33"/>
      <c r="J21" s="32"/>
      <c r="K21" s="32"/>
      <c r="L21" s="32"/>
      <c r="M21" s="33"/>
    </row>
    <row r="22" customFormat="false" ht="15" hidden="false" customHeight="false" outlineLevel="0" collapsed="false">
      <c r="A22" s="26" t="str">
        <f aca="false">IF(C22&lt;&gt;"","G-"&amp;TEXT(ROW()-3,"000"),"")</f>
        <v/>
      </c>
      <c r="B22" s="27"/>
      <c r="C22" s="28"/>
      <c r="D22" s="28"/>
      <c r="E22" s="28"/>
      <c r="F22" s="28"/>
      <c r="G22" s="29"/>
      <c r="H22" s="30"/>
      <c r="I22" s="30"/>
      <c r="J22" s="28"/>
      <c r="K22" s="28"/>
      <c r="L22" s="28"/>
      <c r="M22" s="30"/>
    </row>
    <row r="23" customFormat="false" ht="15" hidden="false" customHeight="false" outlineLevel="0" collapsed="false">
      <c r="A23" s="26" t="str">
        <f aca="false">IF(C23&lt;&gt;"","G-"&amp;TEXT(ROW()-3,"000"),"")</f>
        <v/>
      </c>
      <c r="B23" s="31"/>
      <c r="C23" s="32"/>
      <c r="D23" s="32"/>
      <c r="E23" s="32"/>
      <c r="F23" s="32"/>
      <c r="G23" s="17"/>
      <c r="H23" s="33"/>
      <c r="I23" s="33"/>
      <c r="J23" s="32"/>
      <c r="K23" s="32"/>
      <c r="L23" s="32"/>
      <c r="M23" s="33"/>
    </row>
    <row r="24" customFormat="false" ht="15" hidden="false" customHeight="false" outlineLevel="0" collapsed="false">
      <c r="A24" s="26" t="str">
        <f aca="false">IF(C24&lt;&gt;"","G-"&amp;TEXT(ROW()-3,"000"),"")</f>
        <v/>
      </c>
      <c r="B24" s="27"/>
      <c r="C24" s="28"/>
      <c r="D24" s="28"/>
      <c r="E24" s="28"/>
      <c r="F24" s="28"/>
      <c r="G24" s="29"/>
      <c r="H24" s="30"/>
      <c r="I24" s="30"/>
      <c r="J24" s="28"/>
      <c r="K24" s="28"/>
      <c r="L24" s="28"/>
      <c r="M24" s="30"/>
    </row>
    <row r="25" customFormat="false" ht="15" hidden="false" customHeight="false" outlineLevel="0" collapsed="false">
      <c r="A25" s="26" t="str">
        <f aca="false">IF(C25&lt;&gt;"","G-"&amp;TEXT(ROW()-3,"000"),"")</f>
        <v/>
      </c>
      <c r="B25" s="31"/>
      <c r="C25" s="32"/>
      <c r="D25" s="32"/>
      <c r="E25" s="32"/>
      <c r="F25" s="32"/>
      <c r="G25" s="17"/>
      <c r="H25" s="33"/>
      <c r="I25" s="33"/>
      <c r="J25" s="32"/>
      <c r="K25" s="32"/>
      <c r="L25" s="32"/>
      <c r="M25" s="33"/>
    </row>
    <row r="26" customFormat="false" ht="15" hidden="false" customHeight="false" outlineLevel="0" collapsed="false">
      <c r="A26" s="26" t="str">
        <f aca="false">IF(C26&lt;&gt;"","G-"&amp;TEXT(ROW()-3,"000"),"")</f>
        <v/>
      </c>
      <c r="B26" s="27"/>
      <c r="C26" s="28"/>
      <c r="D26" s="28"/>
      <c r="E26" s="28"/>
      <c r="F26" s="28"/>
      <c r="G26" s="29"/>
      <c r="H26" s="30"/>
      <c r="I26" s="30"/>
      <c r="J26" s="28"/>
      <c r="K26" s="28"/>
      <c r="L26" s="28"/>
      <c r="M26" s="30"/>
    </row>
    <row r="27" customFormat="false" ht="15" hidden="false" customHeight="false" outlineLevel="0" collapsed="false">
      <c r="A27" s="26" t="str">
        <f aca="false">IF(C27&lt;&gt;"","G-"&amp;TEXT(ROW()-3,"000"),"")</f>
        <v/>
      </c>
      <c r="B27" s="31"/>
      <c r="C27" s="32"/>
      <c r="D27" s="32"/>
      <c r="E27" s="32"/>
      <c r="F27" s="32"/>
      <c r="G27" s="17"/>
      <c r="H27" s="33"/>
      <c r="I27" s="33"/>
      <c r="J27" s="32"/>
      <c r="K27" s="32"/>
      <c r="L27" s="32"/>
      <c r="M27" s="33"/>
    </row>
    <row r="28" customFormat="false" ht="15" hidden="false" customHeight="false" outlineLevel="0" collapsed="false">
      <c r="A28" s="26" t="str">
        <f aca="false">IF(C28&lt;&gt;"","G-"&amp;TEXT(ROW()-3,"000"),"")</f>
        <v/>
      </c>
      <c r="B28" s="27"/>
      <c r="C28" s="28"/>
      <c r="D28" s="28"/>
      <c r="E28" s="28"/>
      <c r="F28" s="28"/>
      <c r="G28" s="29"/>
      <c r="H28" s="30"/>
      <c r="I28" s="30"/>
      <c r="J28" s="28"/>
      <c r="K28" s="28"/>
      <c r="L28" s="28"/>
      <c r="M28" s="30"/>
    </row>
    <row r="29" customFormat="false" ht="15" hidden="false" customHeight="false" outlineLevel="0" collapsed="false">
      <c r="A29" s="26" t="str">
        <f aca="false">IF(C29&lt;&gt;"","G-"&amp;TEXT(ROW()-3,"000"),"")</f>
        <v/>
      </c>
      <c r="B29" s="31"/>
      <c r="C29" s="32"/>
      <c r="D29" s="32"/>
      <c r="E29" s="32"/>
      <c r="F29" s="32"/>
      <c r="G29" s="17"/>
      <c r="H29" s="33"/>
      <c r="I29" s="33"/>
      <c r="J29" s="32"/>
      <c r="K29" s="32"/>
      <c r="L29" s="32"/>
      <c r="M29" s="33"/>
    </row>
    <row r="30" customFormat="false" ht="15" hidden="false" customHeight="false" outlineLevel="0" collapsed="false">
      <c r="A30" s="26" t="str">
        <f aca="false">IF(C30&lt;&gt;"","G-"&amp;TEXT(ROW()-3,"000"),"")</f>
        <v/>
      </c>
      <c r="B30" s="27"/>
      <c r="C30" s="28"/>
      <c r="D30" s="28"/>
      <c r="E30" s="28"/>
      <c r="F30" s="28"/>
      <c r="G30" s="29"/>
      <c r="H30" s="30"/>
      <c r="I30" s="30"/>
      <c r="J30" s="28"/>
      <c r="K30" s="28"/>
      <c r="L30" s="28"/>
      <c r="M30" s="30"/>
    </row>
    <row r="31" customFormat="false" ht="15" hidden="false" customHeight="false" outlineLevel="0" collapsed="false">
      <c r="A31" s="26" t="str">
        <f aca="false">IF(C31&lt;&gt;"","G-"&amp;TEXT(ROW()-3,"000"),"")</f>
        <v/>
      </c>
      <c r="B31" s="31"/>
      <c r="C31" s="32"/>
      <c r="D31" s="32"/>
      <c r="E31" s="32"/>
      <c r="F31" s="32"/>
      <c r="G31" s="17"/>
      <c r="H31" s="33"/>
      <c r="I31" s="33"/>
      <c r="J31" s="32"/>
      <c r="K31" s="32"/>
      <c r="L31" s="32"/>
      <c r="M31" s="33"/>
    </row>
    <row r="32" customFormat="false" ht="15" hidden="false" customHeight="false" outlineLevel="0" collapsed="false">
      <c r="A32" s="26" t="str">
        <f aca="false">IF(C32&lt;&gt;"","G-"&amp;TEXT(ROW()-3,"000"),"")</f>
        <v/>
      </c>
      <c r="B32" s="27"/>
      <c r="C32" s="28"/>
      <c r="D32" s="28"/>
      <c r="E32" s="28"/>
      <c r="F32" s="28"/>
      <c r="G32" s="29"/>
      <c r="H32" s="30"/>
      <c r="I32" s="30"/>
      <c r="J32" s="28"/>
      <c r="K32" s="28"/>
      <c r="L32" s="28"/>
      <c r="M32" s="30"/>
    </row>
    <row r="33" customFormat="false" ht="15" hidden="false" customHeight="false" outlineLevel="0" collapsed="false">
      <c r="A33" s="26" t="str">
        <f aca="false">IF(C33&lt;&gt;"","G-"&amp;TEXT(ROW()-3,"000"),"")</f>
        <v/>
      </c>
      <c r="B33" s="31"/>
      <c r="C33" s="32"/>
      <c r="D33" s="32"/>
      <c r="E33" s="32"/>
      <c r="F33" s="32"/>
      <c r="G33" s="17"/>
      <c r="H33" s="33"/>
      <c r="I33" s="33"/>
      <c r="J33" s="32"/>
      <c r="K33" s="32"/>
      <c r="L33" s="32"/>
      <c r="M33" s="33"/>
    </row>
    <row r="34" customFormat="false" ht="15" hidden="false" customHeight="false" outlineLevel="0" collapsed="false">
      <c r="A34" s="26" t="str">
        <f aca="false">IF(C34&lt;&gt;"","G-"&amp;TEXT(ROW()-3,"000"),"")</f>
        <v/>
      </c>
      <c r="B34" s="27"/>
      <c r="C34" s="28"/>
      <c r="D34" s="28"/>
      <c r="E34" s="28"/>
      <c r="F34" s="28"/>
      <c r="G34" s="29"/>
      <c r="H34" s="30"/>
      <c r="I34" s="30"/>
      <c r="J34" s="28"/>
      <c r="K34" s="28"/>
      <c r="L34" s="28"/>
      <c r="M34" s="30"/>
    </row>
    <row r="35" customFormat="false" ht="15" hidden="false" customHeight="false" outlineLevel="0" collapsed="false">
      <c r="A35" s="26" t="str">
        <f aca="false">IF(C35&lt;&gt;"","G-"&amp;TEXT(ROW()-3,"000"),"")</f>
        <v/>
      </c>
      <c r="B35" s="31"/>
      <c r="C35" s="32"/>
      <c r="D35" s="32"/>
      <c r="E35" s="32"/>
      <c r="F35" s="32"/>
      <c r="G35" s="17"/>
      <c r="H35" s="33"/>
      <c r="I35" s="33"/>
      <c r="J35" s="32"/>
      <c r="K35" s="32"/>
      <c r="L35" s="32"/>
      <c r="M35" s="33"/>
    </row>
    <row r="36" customFormat="false" ht="15" hidden="false" customHeight="false" outlineLevel="0" collapsed="false">
      <c r="A36" s="26" t="str">
        <f aca="false">IF(C36&lt;&gt;"","G-"&amp;TEXT(ROW()-3,"000"),"")</f>
        <v/>
      </c>
      <c r="B36" s="27"/>
      <c r="C36" s="28"/>
      <c r="D36" s="28"/>
      <c r="E36" s="28"/>
      <c r="F36" s="28"/>
      <c r="G36" s="29"/>
      <c r="H36" s="30"/>
      <c r="I36" s="30"/>
      <c r="J36" s="28"/>
      <c r="K36" s="28"/>
      <c r="L36" s="28"/>
      <c r="M36" s="30"/>
    </row>
    <row r="37" customFormat="false" ht="15" hidden="false" customHeight="false" outlineLevel="0" collapsed="false">
      <c r="A37" s="26" t="str">
        <f aca="false">IF(C37&lt;&gt;"","G-"&amp;TEXT(ROW()-3,"000"),"")</f>
        <v/>
      </c>
      <c r="B37" s="31"/>
      <c r="C37" s="32"/>
      <c r="D37" s="32"/>
      <c r="E37" s="32"/>
      <c r="F37" s="32"/>
      <c r="G37" s="17"/>
      <c r="H37" s="33"/>
      <c r="I37" s="33"/>
      <c r="J37" s="32"/>
      <c r="K37" s="32"/>
      <c r="L37" s="32"/>
      <c r="M37" s="33"/>
    </row>
    <row r="38" customFormat="false" ht="15" hidden="false" customHeight="false" outlineLevel="0" collapsed="false">
      <c r="A38" s="26" t="str">
        <f aca="false">IF(C38&lt;&gt;"","G-"&amp;TEXT(ROW()-3,"000"),"")</f>
        <v/>
      </c>
      <c r="B38" s="27"/>
      <c r="C38" s="28"/>
      <c r="D38" s="28"/>
      <c r="E38" s="28"/>
      <c r="F38" s="28"/>
      <c r="G38" s="29"/>
      <c r="H38" s="30"/>
      <c r="I38" s="30"/>
      <c r="J38" s="28"/>
      <c r="K38" s="28"/>
      <c r="L38" s="28"/>
      <c r="M38" s="30"/>
    </row>
    <row r="39" customFormat="false" ht="15" hidden="false" customHeight="false" outlineLevel="0" collapsed="false">
      <c r="A39" s="26" t="str">
        <f aca="false">IF(C39&lt;&gt;"","G-"&amp;TEXT(ROW()-3,"000"),"")</f>
        <v/>
      </c>
      <c r="B39" s="31"/>
      <c r="C39" s="32"/>
      <c r="D39" s="32"/>
      <c r="E39" s="32"/>
      <c r="F39" s="32"/>
      <c r="G39" s="17"/>
      <c r="H39" s="33"/>
      <c r="I39" s="33"/>
      <c r="J39" s="32"/>
      <c r="K39" s="32"/>
      <c r="L39" s="32"/>
      <c r="M39" s="33"/>
    </row>
    <row r="40" customFormat="false" ht="15" hidden="false" customHeight="false" outlineLevel="0" collapsed="false">
      <c r="A40" s="26" t="str">
        <f aca="false">IF(C40&lt;&gt;"","G-"&amp;TEXT(ROW()-3,"000"),"")</f>
        <v/>
      </c>
      <c r="B40" s="27"/>
      <c r="C40" s="28"/>
      <c r="D40" s="28"/>
      <c r="E40" s="28"/>
      <c r="F40" s="28"/>
      <c r="G40" s="29"/>
      <c r="H40" s="30"/>
      <c r="I40" s="30"/>
      <c r="J40" s="28"/>
      <c r="K40" s="28"/>
      <c r="L40" s="28"/>
      <c r="M40" s="30"/>
    </row>
    <row r="41" customFormat="false" ht="15" hidden="false" customHeight="false" outlineLevel="0" collapsed="false">
      <c r="A41" s="26" t="str">
        <f aca="false">IF(C41&lt;&gt;"","G-"&amp;TEXT(ROW()-3,"000"),"")</f>
        <v/>
      </c>
      <c r="B41" s="31"/>
      <c r="C41" s="32"/>
      <c r="D41" s="32"/>
      <c r="E41" s="32"/>
      <c r="F41" s="32"/>
      <c r="G41" s="17"/>
      <c r="H41" s="33"/>
      <c r="I41" s="33"/>
      <c r="J41" s="32"/>
      <c r="K41" s="32"/>
      <c r="L41" s="32"/>
      <c r="M41" s="33"/>
    </row>
    <row r="42" customFormat="false" ht="15" hidden="false" customHeight="false" outlineLevel="0" collapsed="false">
      <c r="A42" s="26" t="str">
        <f aca="false">IF(C42&lt;&gt;"","G-"&amp;TEXT(ROW()-3,"000"),"")</f>
        <v/>
      </c>
      <c r="B42" s="27"/>
      <c r="C42" s="28"/>
      <c r="D42" s="28"/>
      <c r="E42" s="28"/>
      <c r="F42" s="28"/>
      <c r="G42" s="29"/>
      <c r="H42" s="30"/>
      <c r="I42" s="30"/>
      <c r="J42" s="28"/>
      <c r="K42" s="28"/>
      <c r="L42" s="28"/>
      <c r="M42" s="30"/>
    </row>
    <row r="43" customFormat="false" ht="15" hidden="false" customHeight="false" outlineLevel="0" collapsed="false">
      <c r="A43" s="26" t="str">
        <f aca="false">IF(C43&lt;&gt;"","G-"&amp;TEXT(ROW()-3,"000"),"")</f>
        <v/>
      </c>
      <c r="B43" s="31"/>
      <c r="C43" s="32"/>
      <c r="D43" s="32"/>
      <c r="E43" s="32"/>
      <c r="F43" s="32"/>
      <c r="G43" s="17"/>
      <c r="H43" s="33"/>
      <c r="I43" s="33"/>
      <c r="J43" s="32"/>
      <c r="K43" s="32"/>
      <c r="L43" s="32"/>
      <c r="M43" s="33"/>
    </row>
    <row r="44" customFormat="false" ht="15" hidden="false" customHeight="false" outlineLevel="0" collapsed="false">
      <c r="A44" s="26" t="str">
        <f aca="false">IF(C44&lt;&gt;"","G-"&amp;TEXT(ROW()-3,"000"),"")</f>
        <v/>
      </c>
      <c r="B44" s="27"/>
      <c r="C44" s="28"/>
      <c r="D44" s="28"/>
      <c r="E44" s="28"/>
      <c r="F44" s="28"/>
      <c r="G44" s="29"/>
      <c r="H44" s="30"/>
      <c r="I44" s="30"/>
      <c r="J44" s="28"/>
      <c r="K44" s="28"/>
      <c r="L44" s="28"/>
      <c r="M44" s="30"/>
    </row>
    <row r="45" customFormat="false" ht="15" hidden="false" customHeight="false" outlineLevel="0" collapsed="false">
      <c r="A45" s="26" t="str">
        <f aca="false">IF(C45&lt;&gt;"","G-"&amp;TEXT(ROW()-3,"000"),"")</f>
        <v/>
      </c>
      <c r="B45" s="31"/>
      <c r="C45" s="32"/>
      <c r="D45" s="32"/>
      <c r="E45" s="32"/>
      <c r="F45" s="32"/>
      <c r="G45" s="17"/>
      <c r="H45" s="33"/>
      <c r="I45" s="33"/>
      <c r="J45" s="32"/>
      <c r="K45" s="32"/>
      <c r="L45" s="32"/>
      <c r="M45" s="33"/>
    </row>
    <row r="46" customFormat="false" ht="15" hidden="false" customHeight="false" outlineLevel="0" collapsed="false">
      <c r="A46" s="26" t="str">
        <f aca="false">IF(C46&lt;&gt;"","G-"&amp;TEXT(ROW()-3,"000"),"")</f>
        <v/>
      </c>
      <c r="B46" s="27"/>
      <c r="C46" s="28"/>
      <c r="D46" s="28"/>
      <c r="E46" s="28"/>
      <c r="F46" s="28"/>
      <c r="G46" s="29"/>
      <c r="H46" s="30"/>
      <c r="I46" s="30"/>
      <c r="J46" s="28"/>
      <c r="K46" s="28"/>
      <c r="L46" s="28"/>
      <c r="M46" s="30"/>
    </row>
    <row r="47" customFormat="false" ht="15" hidden="false" customHeight="false" outlineLevel="0" collapsed="false">
      <c r="A47" s="26" t="str">
        <f aca="false">IF(C47&lt;&gt;"","G-"&amp;TEXT(ROW()-3,"000"),"")</f>
        <v/>
      </c>
      <c r="B47" s="31"/>
      <c r="C47" s="32"/>
      <c r="D47" s="32"/>
      <c r="E47" s="32"/>
      <c r="F47" s="32"/>
      <c r="G47" s="17"/>
      <c r="H47" s="33"/>
      <c r="I47" s="33"/>
      <c r="J47" s="32"/>
      <c r="K47" s="32"/>
      <c r="L47" s="32"/>
      <c r="M47" s="33"/>
    </row>
    <row r="48" customFormat="false" ht="15" hidden="false" customHeight="false" outlineLevel="0" collapsed="false">
      <c r="A48" s="26" t="str">
        <f aca="false">IF(C48&lt;&gt;"","G-"&amp;TEXT(ROW()-3,"000"),"")</f>
        <v/>
      </c>
      <c r="B48" s="27"/>
      <c r="C48" s="28"/>
      <c r="D48" s="28"/>
      <c r="E48" s="28"/>
      <c r="F48" s="28"/>
      <c r="G48" s="29"/>
      <c r="H48" s="30"/>
      <c r="I48" s="30"/>
      <c r="J48" s="28"/>
      <c r="K48" s="28"/>
      <c r="L48" s="28"/>
      <c r="M48" s="30"/>
    </row>
    <row r="49" customFormat="false" ht="15" hidden="false" customHeight="false" outlineLevel="0" collapsed="false">
      <c r="A49" s="26" t="str">
        <f aca="false">IF(C49&lt;&gt;"","G-"&amp;TEXT(ROW()-3,"000"),"")</f>
        <v/>
      </c>
      <c r="B49" s="31"/>
      <c r="C49" s="32"/>
      <c r="D49" s="32"/>
      <c r="E49" s="32"/>
      <c r="F49" s="32"/>
      <c r="G49" s="17"/>
      <c r="H49" s="33"/>
      <c r="I49" s="33"/>
      <c r="J49" s="32"/>
      <c r="K49" s="32"/>
      <c r="L49" s="32"/>
      <c r="M49" s="33"/>
    </row>
    <row r="50" customFormat="false" ht="15" hidden="false" customHeight="false" outlineLevel="0" collapsed="false">
      <c r="A50" s="26" t="str">
        <f aca="false">IF(C50&lt;&gt;"","G-"&amp;TEXT(ROW()-3,"000"),"")</f>
        <v/>
      </c>
      <c r="B50" s="27"/>
      <c r="C50" s="28"/>
      <c r="D50" s="28"/>
      <c r="E50" s="28"/>
      <c r="F50" s="28"/>
      <c r="G50" s="29"/>
      <c r="H50" s="30"/>
      <c r="I50" s="30"/>
      <c r="J50" s="28"/>
      <c r="K50" s="28"/>
      <c r="L50" s="28"/>
      <c r="M50" s="30"/>
    </row>
    <row r="51" customFormat="false" ht="15" hidden="false" customHeight="false" outlineLevel="0" collapsed="false">
      <c r="A51" s="26" t="str">
        <f aca="false">IF(C51&lt;&gt;"","G-"&amp;TEXT(ROW()-3,"000"),"")</f>
        <v/>
      </c>
      <c r="B51" s="31"/>
      <c r="C51" s="32"/>
      <c r="D51" s="32"/>
      <c r="E51" s="32"/>
      <c r="F51" s="32"/>
      <c r="G51" s="17"/>
      <c r="H51" s="33"/>
      <c r="I51" s="33"/>
      <c r="J51" s="32"/>
      <c r="K51" s="32"/>
      <c r="L51" s="32"/>
      <c r="M51" s="33"/>
    </row>
    <row r="52" customFormat="false" ht="15" hidden="false" customHeight="false" outlineLevel="0" collapsed="false">
      <c r="A52" s="26" t="str">
        <f aca="false">IF(C52&lt;&gt;"","G-"&amp;TEXT(ROW()-3,"000"),"")</f>
        <v/>
      </c>
      <c r="B52" s="27"/>
      <c r="C52" s="28"/>
      <c r="D52" s="28"/>
      <c r="E52" s="28"/>
      <c r="F52" s="28"/>
      <c r="G52" s="29"/>
      <c r="H52" s="30"/>
      <c r="I52" s="30"/>
      <c r="J52" s="28"/>
      <c r="K52" s="28"/>
      <c r="L52" s="28"/>
      <c r="M52" s="30"/>
    </row>
    <row r="53" customFormat="false" ht="15" hidden="false" customHeight="false" outlineLevel="0" collapsed="false">
      <c r="A53" s="26" t="str">
        <f aca="false">IF(C53&lt;&gt;"","G-"&amp;TEXT(ROW()-3,"000"),"")</f>
        <v/>
      </c>
      <c r="B53" s="31"/>
      <c r="C53" s="32"/>
      <c r="D53" s="32"/>
      <c r="E53" s="32"/>
      <c r="F53" s="32"/>
      <c r="G53" s="17"/>
      <c r="H53" s="33"/>
      <c r="I53" s="33"/>
      <c r="J53" s="32"/>
      <c r="K53" s="32"/>
      <c r="L53" s="32"/>
      <c r="M53" s="33"/>
    </row>
    <row r="54" customFormat="false" ht="15" hidden="false" customHeight="false" outlineLevel="0" collapsed="false">
      <c r="A54" s="26" t="str">
        <f aca="false">IF(C54&lt;&gt;"","G-"&amp;TEXT(ROW()-3,"000"),"")</f>
        <v/>
      </c>
      <c r="B54" s="27"/>
      <c r="C54" s="28"/>
      <c r="D54" s="28"/>
      <c r="E54" s="28"/>
      <c r="F54" s="28"/>
      <c r="G54" s="29"/>
      <c r="H54" s="30"/>
      <c r="I54" s="30"/>
      <c r="J54" s="28"/>
      <c r="K54" s="28"/>
      <c r="L54" s="28"/>
      <c r="M54" s="30"/>
    </row>
    <row r="55" customFormat="false" ht="15" hidden="false" customHeight="false" outlineLevel="0" collapsed="false">
      <c r="A55" s="26" t="str">
        <f aca="false">IF(C55&lt;&gt;"","G-"&amp;TEXT(ROW()-3,"000"),"")</f>
        <v/>
      </c>
      <c r="B55" s="31"/>
      <c r="C55" s="32"/>
      <c r="D55" s="32"/>
      <c r="E55" s="32"/>
      <c r="F55" s="32"/>
      <c r="G55" s="17"/>
      <c r="H55" s="33"/>
      <c r="I55" s="33"/>
      <c r="J55" s="32"/>
      <c r="K55" s="32"/>
      <c r="L55" s="32"/>
      <c r="M55" s="33"/>
    </row>
    <row r="56" customFormat="false" ht="15" hidden="false" customHeight="false" outlineLevel="0" collapsed="false">
      <c r="A56" s="26" t="str">
        <f aca="false">IF(C56&lt;&gt;"","G-"&amp;TEXT(ROW()-3,"000"),"")</f>
        <v/>
      </c>
      <c r="B56" s="27"/>
      <c r="C56" s="28"/>
      <c r="D56" s="28"/>
      <c r="E56" s="28"/>
      <c r="F56" s="28"/>
      <c r="G56" s="29"/>
      <c r="H56" s="30"/>
      <c r="I56" s="30"/>
      <c r="J56" s="28"/>
      <c r="K56" s="28"/>
      <c r="L56" s="28"/>
      <c r="M56" s="30"/>
    </row>
    <row r="57" customFormat="false" ht="15" hidden="false" customHeight="false" outlineLevel="0" collapsed="false">
      <c r="A57" s="26" t="str">
        <f aca="false">IF(C57&lt;&gt;"","G-"&amp;TEXT(ROW()-3,"000"),"")</f>
        <v/>
      </c>
      <c r="B57" s="31"/>
      <c r="C57" s="32"/>
      <c r="D57" s="32"/>
      <c r="E57" s="32"/>
      <c r="F57" s="32"/>
      <c r="G57" s="17"/>
      <c r="H57" s="33"/>
      <c r="I57" s="33"/>
      <c r="J57" s="32"/>
      <c r="K57" s="32"/>
      <c r="L57" s="32"/>
      <c r="M57" s="33"/>
    </row>
    <row r="58" customFormat="false" ht="15" hidden="false" customHeight="false" outlineLevel="0" collapsed="false">
      <c r="A58" s="26" t="str">
        <f aca="false">IF(C58&lt;&gt;"","G-"&amp;TEXT(ROW()-3,"000"),"")</f>
        <v/>
      </c>
      <c r="B58" s="27"/>
      <c r="C58" s="28"/>
      <c r="D58" s="28"/>
      <c r="E58" s="28"/>
      <c r="F58" s="28"/>
      <c r="G58" s="29"/>
      <c r="H58" s="30"/>
      <c r="I58" s="30"/>
      <c r="J58" s="28"/>
      <c r="K58" s="28"/>
      <c r="L58" s="28"/>
      <c r="M58" s="30"/>
    </row>
    <row r="59" customFormat="false" ht="15" hidden="false" customHeight="false" outlineLevel="0" collapsed="false">
      <c r="A59" s="26" t="str">
        <f aca="false">IF(C59&lt;&gt;"","G-"&amp;TEXT(ROW()-3,"000"),"")</f>
        <v/>
      </c>
      <c r="B59" s="31"/>
      <c r="C59" s="32"/>
      <c r="D59" s="32"/>
      <c r="E59" s="32"/>
      <c r="F59" s="32"/>
      <c r="G59" s="17"/>
      <c r="H59" s="33"/>
      <c r="I59" s="33"/>
      <c r="J59" s="32"/>
      <c r="K59" s="32"/>
      <c r="L59" s="32"/>
      <c r="M59" s="33"/>
    </row>
    <row r="60" customFormat="false" ht="15" hidden="false" customHeight="false" outlineLevel="0" collapsed="false">
      <c r="A60" s="26" t="str">
        <f aca="false">IF(C60&lt;&gt;"","G-"&amp;TEXT(ROW()-3,"000"),"")</f>
        <v/>
      </c>
      <c r="B60" s="27"/>
      <c r="C60" s="28"/>
      <c r="D60" s="28"/>
      <c r="E60" s="28"/>
      <c r="F60" s="28"/>
      <c r="G60" s="29"/>
      <c r="H60" s="30"/>
      <c r="I60" s="30"/>
      <c r="J60" s="28"/>
      <c r="K60" s="28"/>
      <c r="L60" s="28"/>
      <c r="M60" s="30"/>
    </row>
    <row r="61" customFormat="false" ht="15" hidden="false" customHeight="false" outlineLevel="0" collapsed="false">
      <c r="A61" s="26" t="str">
        <f aca="false">IF(C61&lt;&gt;"","G-"&amp;TEXT(ROW()-3,"000"),"")</f>
        <v/>
      </c>
      <c r="B61" s="31"/>
      <c r="C61" s="32"/>
      <c r="D61" s="32"/>
      <c r="E61" s="32"/>
      <c r="F61" s="32"/>
      <c r="G61" s="17"/>
      <c r="H61" s="33"/>
      <c r="I61" s="33"/>
      <c r="J61" s="32"/>
      <c r="K61" s="32"/>
      <c r="L61" s="32"/>
      <c r="M61" s="33"/>
    </row>
    <row r="62" customFormat="false" ht="15" hidden="false" customHeight="false" outlineLevel="0" collapsed="false">
      <c r="A62" s="26" t="str">
        <f aca="false">IF(C62&lt;&gt;"","G-"&amp;TEXT(ROW()-3,"000"),"")</f>
        <v/>
      </c>
      <c r="B62" s="27"/>
      <c r="C62" s="28"/>
      <c r="D62" s="28"/>
      <c r="E62" s="28"/>
      <c r="F62" s="28"/>
      <c r="G62" s="29"/>
      <c r="H62" s="30"/>
      <c r="I62" s="30"/>
      <c r="J62" s="28"/>
      <c r="K62" s="28"/>
      <c r="L62" s="28"/>
      <c r="M62" s="30"/>
    </row>
    <row r="63" customFormat="false" ht="15" hidden="false" customHeight="false" outlineLevel="0" collapsed="false">
      <c r="A63" s="26" t="str">
        <f aca="false">IF(C63&lt;&gt;"","G-"&amp;TEXT(ROW()-3,"000"),"")</f>
        <v/>
      </c>
      <c r="B63" s="31"/>
      <c r="C63" s="32"/>
      <c r="D63" s="32"/>
      <c r="E63" s="32"/>
      <c r="F63" s="32"/>
      <c r="G63" s="17"/>
      <c r="H63" s="33"/>
      <c r="I63" s="33"/>
      <c r="J63" s="32"/>
      <c r="K63" s="32"/>
      <c r="L63" s="32"/>
      <c r="M63" s="33"/>
    </row>
    <row r="64" customFormat="false" ht="15" hidden="false" customHeight="false" outlineLevel="0" collapsed="false">
      <c r="A64" s="26" t="str">
        <f aca="false">IF(C64&lt;&gt;"","G-"&amp;TEXT(ROW()-3,"000"),"")</f>
        <v/>
      </c>
      <c r="B64" s="27"/>
      <c r="C64" s="28"/>
      <c r="D64" s="28"/>
      <c r="E64" s="28"/>
      <c r="F64" s="28"/>
      <c r="G64" s="29"/>
      <c r="H64" s="30"/>
      <c r="I64" s="30"/>
      <c r="J64" s="28"/>
      <c r="K64" s="28"/>
      <c r="L64" s="28"/>
      <c r="M64" s="30"/>
    </row>
    <row r="65" customFormat="false" ht="15" hidden="false" customHeight="false" outlineLevel="0" collapsed="false">
      <c r="A65" s="26" t="str">
        <f aca="false">IF(C65&lt;&gt;"","G-"&amp;TEXT(ROW()-3,"000"),"")</f>
        <v/>
      </c>
      <c r="B65" s="31"/>
      <c r="C65" s="32"/>
      <c r="D65" s="32"/>
      <c r="E65" s="32"/>
      <c r="F65" s="32"/>
      <c r="G65" s="17"/>
      <c r="H65" s="33"/>
      <c r="I65" s="33"/>
      <c r="J65" s="32"/>
      <c r="K65" s="32"/>
      <c r="L65" s="32"/>
      <c r="M65" s="33"/>
    </row>
    <row r="66" customFormat="false" ht="15" hidden="false" customHeight="false" outlineLevel="0" collapsed="false">
      <c r="A66" s="26" t="str">
        <f aca="false">IF(C66&lt;&gt;"","G-"&amp;TEXT(ROW()-3,"000"),"")</f>
        <v/>
      </c>
      <c r="B66" s="27"/>
      <c r="C66" s="28"/>
      <c r="D66" s="28"/>
      <c r="E66" s="28"/>
      <c r="F66" s="28"/>
      <c r="G66" s="29"/>
      <c r="H66" s="30"/>
      <c r="I66" s="30"/>
      <c r="J66" s="28"/>
      <c r="K66" s="28"/>
      <c r="L66" s="28"/>
      <c r="M66" s="30"/>
    </row>
    <row r="67" customFormat="false" ht="15" hidden="false" customHeight="false" outlineLevel="0" collapsed="false">
      <c r="A67" s="26" t="str">
        <f aca="false">IF(C67&lt;&gt;"","G-"&amp;TEXT(ROW()-3,"000"),"")</f>
        <v/>
      </c>
      <c r="B67" s="31"/>
      <c r="C67" s="32"/>
      <c r="D67" s="32"/>
      <c r="E67" s="32"/>
      <c r="F67" s="32"/>
      <c r="G67" s="17"/>
      <c r="H67" s="33"/>
      <c r="I67" s="33"/>
      <c r="J67" s="32"/>
      <c r="K67" s="32"/>
      <c r="L67" s="32"/>
      <c r="M67" s="33"/>
    </row>
    <row r="68" customFormat="false" ht="15" hidden="false" customHeight="false" outlineLevel="0" collapsed="false">
      <c r="A68" s="26" t="str">
        <f aca="false">IF(C68&lt;&gt;"","G-"&amp;TEXT(ROW()-3,"000"),"")</f>
        <v/>
      </c>
      <c r="B68" s="27"/>
      <c r="C68" s="28"/>
      <c r="D68" s="28"/>
      <c r="E68" s="28"/>
      <c r="F68" s="28"/>
      <c r="G68" s="29"/>
      <c r="H68" s="30"/>
      <c r="I68" s="30"/>
      <c r="J68" s="28"/>
      <c r="K68" s="28"/>
      <c r="L68" s="28"/>
      <c r="M68" s="30"/>
    </row>
    <row r="69" customFormat="false" ht="15" hidden="false" customHeight="false" outlineLevel="0" collapsed="false">
      <c r="A69" s="26" t="str">
        <f aca="false">IF(C69&lt;&gt;"","G-"&amp;TEXT(ROW()-3,"000"),"")</f>
        <v/>
      </c>
      <c r="B69" s="31"/>
      <c r="C69" s="32"/>
      <c r="D69" s="32"/>
      <c r="E69" s="32"/>
      <c r="F69" s="32"/>
      <c r="G69" s="17"/>
      <c r="H69" s="33"/>
      <c r="I69" s="33"/>
      <c r="J69" s="32"/>
      <c r="K69" s="32"/>
      <c r="L69" s="32"/>
      <c r="M69" s="33"/>
    </row>
    <row r="70" customFormat="false" ht="15" hidden="false" customHeight="false" outlineLevel="0" collapsed="false">
      <c r="A70" s="26" t="str">
        <f aca="false">IF(C70&lt;&gt;"","G-"&amp;TEXT(ROW()-3,"000"),"")</f>
        <v/>
      </c>
      <c r="B70" s="27"/>
      <c r="C70" s="28"/>
      <c r="D70" s="28"/>
      <c r="E70" s="28"/>
      <c r="F70" s="28"/>
      <c r="G70" s="29"/>
      <c r="H70" s="30"/>
      <c r="I70" s="30"/>
      <c r="J70" s="28"/>
      <c r="K70" s="28"/>
      <c r="L70" s="28"/>
      <c r="M70" s="30"/>
    </row>
    <row r="71" customFormat="false" ht="15" hidden="false" customHeight="false" outlineLevel="0" collapsed="false">
      <c r="A71" s="26" t="str">
        <f aca="false">IF(C71&lt;&gt;"","G-"&amp;TEXT(ROW()-3,"000"),"")</f>
        <v/>
      </c>
      <c r="B71" s="31"/>
      <c r="C71" s="32"/>
      <c r="D71" s="32"/>
      <c r="E71" s="32"/>
      <c r="F71" s="32"/>
      <c r="G71" s="17"/>
      <c r="H71" s="33"/>
      <c r="I71" s="33"/>
      <c r="J71" s="32"/>
      <c r="K71" s="32"/>
      <c r="L71" s="32"/>
      <c r="M71" s="33"/>
    </row>
    <row r="72" customFormat="false" ht="15" hidden="false" customHeight="false" outlineLevel="0" collapsed="false">
      <c r="A72" s="26" t="str">
        <f aca="false">IF(C72&lt;&gt;"","G-"&amp;TEXT(ROW()-3,"000"),"")</f>
        <v/>
      </c>
      <c r="B72" s="27"/>
      <c r="C72" s="28"/>
      <c r="D72" s="28"/>
      <c r="E72" s="28"/>
      <c r="F72" s="28"/>
      <c r="G72" s="29"/>
      <c r="H72" s="30"/>
      <c r="I72" s="30"/>
      <c r="J72" s="28"/>
      <c r="K72" s="28"/>
      <c r="L72" s="28"/>
      <c r="M72" s="30"/>
    </row>
    <row r="73" customFormat="false" ht="15" hidden="false" customHeight="false" outlineLevel="0" collapsed="false">
      <c r="A73" s="26" t="str">
        <f aca="false">IF(C73&lt;&gt;"","G-"&amp;TEXT(ROW()-3,"000"),"")</f>
        <v/>
      </c>
      <c r="B73" s="31"/>
      <c r="C73" s="32"/>
      <c r="D73" s="32"/>
      <c r="E73" s="32"/>
      <c r="F73" s="32"/>
      <c r="G73" s="17"/>
      <c r="H73" s="33"/>
      <c r="I73" s="33"/>
      <c r="J73" s="32"/>
      <c r="K73" s="32"/>
      <c r="L73" s="32"/>
      <c r="M73" s="33"/>
    </row>
    <row r="74" customFormat="false" ht="15" hidden="false" customHeight="false" outlineLevel="0" collapsed="false">
      <c r="A74" s="26" t="str">
        <f aca="false">IF(C74&lt;&gt;"","G-"&amp;TEXT(ROW()-3,"000"),"")</f>
        <v/>
      </c>
      <c r="B74" s="27"/>
      <c r="C74" s="28"/>
      <c r="D74" s="28"/>
      <c r="E74" s="28"/>
      <c r="F74" s="28"/>
      <c r="G74" s="29"/>
      <c r="H74" s="30"/>
      <c r="I74" s="30"/>
      <c r="J74" s="28"/>
      <c r="K74" s="28"/>
      <c r="L74" s="28"/>
      <c r="M74" s="30"/>
    </row>
    <row r="75" customFormat="false" ht="15" hidden="false" customHeight="false" outlineLevel="0" collapsed="false">
      <c r="A75" s="26" t="str">
        <f aca="false">IF(C75&lt;&gt;"","G-"&amp;TEXT(ROW()-3,"000"),"")</f>
        <v/>
      </c>
      <c r="B75" s="31"/>
      <c r="C75" s="32"/>
      <c r="D75" s="32"/>
      <c r="E75" s="32"/>
      <c r="F75" s="32"/>
      <c r="G75" s="17"/>
      <c r="H75" s="33"/>
      <c r="I75" s="33"/>
      <c r="J75" s="32"/>
      <c r="K75" s="32"/>
      <c r="L75" s="32"/>
      <c r="M75" s="33"/>
    </row>
    <row r="76" customFormat="false" ht="15" hidden="false" customHeight="false" outlineLevel="0" collapsed="false">
      <c r="A76" s="26" t="str">
        <f aca="false">IF(C76&lt;&gt;"","G-"&amp;TEXT(ROW()-3,"000"),"")</f>
        <v/>
      </c>
      <c r="B76" s="27"/>
      <c r="C76" s="28"/>
      <c r="D76" s="28"/>
      <c r="E76" s="28"/>
      <c r="F76" s="28"/>
      <c r="G76" s="29"/>
      <c r="H76" s="30"/>
      <c r="I76" s="30"/>
      <c r="J76" s="28"/>
      <c r="K76" s="28"/>
      <c r="L76" s="28"/>
      <c r="M76" s="30"/>
    </row>
    <row r="77" customFormat="false" ht="15" hidden="false" customHeight="false" outlineLevel="0" collapsed="false">
      <c r="A77" s="26" t="str">
        <f aca="false">IF(C77&lt;&gt;"","G-"&amp;TEXT(ROW()-3,"000"),"")</f>
        <v/>
      </c>
      <c r="B77" s="31"/>
      <c r="C77" s="32"/>
      <c r="D77" s="32"/>
      <c r="E77" s="32"/>
      <c r="F77" s="32"/>
      <c r="G77" s="17"/>
      <c r="H77" s="33"/>
      <c r="I77" s="33"/>
      <c r="J77" s="32"/>
      <c r="K77" s="32"/>
      <c r="L77" s="32"/>
      <c r="M77" s="33"/>
    </row>
    <row r="78" customFormat="false" ht="15" hidden="false" customHeight="false" outlineLevel="0" collapsed="false">
      <c r="A78" s="26" t="str">
        <f aca="false">IF(C78&lt;&gt;"","G-"&amp;TEXT(ROW()-3,"000"),"")</f>
        <v/>
      </c>
      <c r="B78" s="27"/>
      <c r="C78" s="28"/>
      <c r="D78" s="28"/>
      <c r="E78" s="28"/>
      <c r="F78" s="28"/>
      <c r="G78" s="29"/>
      <c r="H78" s="30"/>
      <c r="I78" s="30"/>
      <c r="J78" s="28"/>
      <c r="K78" s="28"/>
      <c r="L78" s="28"/>
      <c r="M78" s="30"/>
    </row>
    <row r="79" customFormat="false" ht="15" hidden="false" customHeight="false" outlineLevel="0" collapsed="false">
      <c r="A79" s="26" t="str">
        <f aca="false">IF(C79&lt;&gt;"","G-"&amp;TEXT(ROW()-3,"000"),"")</f>
        <v/>
      </c>
      <c r="B79" s="31"/>
      <c r="C79" s="32"/>
      <c r="D79" s="32"/>
      <c r="E79" s="32"/>
      <c r="F79" s="32"/>
      <c r="G79" s="17"/>
      <c r="H79" s="33"/>
      <c r="I79" s="33"/>
      <c r="J79" s="32"/>
      <c r="K79" s="32"/>
      <c r="L79" s="32"/>
      <c r="M79" s="33"/>
    </row>
    <row r="80" customFormat="false" ht="15" hidden="false" customHeight="false" outlineLevel="0" collapsed="false">
      <c r="A80" s="26" t="str">
        <f aca="false">IF(C80&lt;&gt;"","G-"&amp;TEXT(ROW()-3,"000"),"")</f>
        <v/>
      </c>
      <c r="B80" s="27"/>
      <c r="C80" s="28"/>
      <c r="D80" s="28"/>
      <c r="E80" s="28"/>
      <c r="F80" s="28"/>
      <c r="G80" s="29"/>
      <c r="H80" s="30"/>
      <c r="I80" s="30"/>
      <c r="J80" s="28"/>
      <c r="K80" s="28"/>
      <c r="L80" s="28"/>
      <c r="M80" s="30"/>
    </row>
    <row r="81" customFormat="false" ht="15" hidden="false" customHeight="false" outlineLevel="0" collapsed="false">
      <c r="A81" s="26" t="str">
        <f aca="false">IF(C81&lt;&gt;"","G-"&amp;TEXT(ROW()-3,"000"),"")</f>
        <v/>
      </c>
      <c r="B81" s="31"/>
      <c r="C81" s="32"/>
      <c r="D81" s="32"/>
      <c r="E81" s="32"/>
      <c r="F81" s="32"/>
      <c r="G81" s="17"/>
      <c r="H81" s="33"/>
      <c r="I81" s="33"/>
      <c r="J81" s="32"/>
      <c r="K81" s="32"/>
      <c r="L81" s="32"/>
      <c r="M81" s="33"/>
    </row>
    <row r="82" customFormat="false" ht="15" hidden="false" customHeight="false" outlineLevel="0" collapsed="false">
      <c r="A82" s="26" t="str">
        <f aca="false">IF(C82&lt;&gt;"","G-"&amp;TEXT(ROW()-3,"000"),"")</f>
        <v/>
      </c>
      <c r="B82" s="27"/>
      <c r="C82" s="28"/>
      <c r="D82" s="28"/>
      <c r="E82" s="28"/>
      <c r="F82" s="28"/>
      <c r="G82" s="29"/>
      <c r="H82" s="30"/>
      <c r="I82" s="30"/>
      <c r="J82" s="28"/>
      <c r="K82" s="28"/>
      <c r="L82" s="28"/>
      <c r="M82" s="30"/>
    </row>
    <row r="83" customFormat="false" ht="15" hidden="false" customHeight="false" outlineLevel="0" collapsed="false">
      <c r="A83" s="26" t="str">
        <f aca="false">IF(C83&lt;&gt;"","G-"&amp;TEXT(ROW()-3,"000"),"")</f>
        <v/>
      </c>
      <c r="B83" s="31"/>
      <c r="C83" s="32"/>
      <c r="D83" s="32"/>
      <c r="E83" s="32"/>
      <c r="F83" s="32"/>
      <c r="G83" s="17"/>
      <c r="H83" s="33"/>
      <c r="I83" s="33"/>
      <c r="J83" s="32"/>
      <c r="K83" s="32"/>
      <c r="L83" s="32"/>
      <c r="M83" s="33"/>
    </row>
    <row r="84" customFormat="false" ht="15" hidden="false" customHeight="false" outlineLevel="0" collapsed="false">
      <c r="A84" s="26" t="str">
        <f aca="false">IF(C84&lt;&gt;"","G-"&amp;TEXT(ROW()-3,"000"),"")</f>
        <v/>
      </c>
      <c r="B84" s="27"/>
      <c r="C84" s="28"/>
      <c r="D84" s="28"/>
      <c r="E84" s="28"/>
      <c r="F84" s="28"/>
      <c r="G84" s="29"/>
      <c r="H84" s="30"/>
      <c r="I84" s="30"/>
      <c r="J84" s="28"/>
      <c r="K84" s="28"/>
      <c r="L84" s="28"/>
      <c r="M84" s="30"/>
    </row>
    <row r="85" customFormat="false" ht="15" hidden="false" customHeight="false" outlineLevel="0" collapsed="false">
      <c r="A85" s="26" t="str">
        <f aca="false">IF(C85&lt;&gt;"","G-"&amp;TEXT(ROW()-3,"000"),"")</f>
        <v/>
      </c>
      <c r="B85" s="31"/>
      <c r="C85" s="32"/>
      <c r="D85" s="32"/>
      <c r="E85" s="32"/>
      <c r="F85" s="32"/>
      <c r="G85" s="17"/>
      <c r="H85" s="33"/>
      <c r="I85" s="33"/>
      <c r="J85" s="32"/>
      <c r="K85" s="32"/>
      <c r="L85" s="32"/>
      <c r="M85" s="33"/>
    </row>
    <row r="86" customFormat="false" ht="15" hidden="false" customHeight="false" outlineLevel="0" collapsed="false">
      <c r="A86" s="26" t="str">
        <f aca="false">IF(C86&lt;&gt;"","G-"&amp;TEXT(ROW()-3,"000"),"")</f>
        <v/>
      </c>
      <c r="B86" s="27"/>
      <c r="C86" s="28"/>
      <c r="D86" s="28"/>
      <c r="E86" s="28"/>
      <c r="F86" s="28"/>
      <c r="G86" s="29"/>
      <c r="H86" s="30"/>
      <c r="I86" s="30"/>
      <c r="J86" s="28"/>
      <c r="K86" s="28"/>
      <c r="L86" s="28"/>
      <c r="M86" s="30"/>
    </row>
    <row r="87" customFormat="false" ht="15" hidden="false" customHeight="false" outlineLevel="0" collapsed="false">
      <c r="A87" s="26" t="str">
        <f aca="false">IF(C87&lt;&gt;"","G-"&amp;TEXT(ROW()-3,"000"),"")</f>
        <v/>
      </c>
      <c r="B87" s="31"/>
      <c r="C87" s="32"/>
      <c r="D87" s="32"/>
      <c r="E87" s="32"/>
      <c r="F87" s="32"/>
      <c r="G87" s="17"/>
      <c r="H87" s="33"/>
      <c r="I87" s="33"/>
      <c r="J87" s="32"/>
      <c r="K87" s="32"/>
      <c r="L87" s="32"/>
      <c r="M87" s="33"/>
    </row>
    <row r="88" customFormat="false" ht="15" hidden="false" customHeight="false" outlineLevel="0" collapsed="false">
      <c r="A88" s="26" t="str">
        <f aca="false">IF(C88&lt;&gt;"","G-"&amp;TEXT(ROW()-3,"000"),"")</f>
        <v/>
      </c>
      <c r="B88" s="27"/>
      <c r="C88" s="28"/>
      <c r="D88" s="28"/>
      <c r="E88" s="28"/>
      <c r="F88" s="28"/>
      <c r="G88" s="29"/>
      <c r="H88" s="30"/>
      <c r="I88" s="30"/>
      <c r="J88" s="28"/>
      <c r="K88" s="28"/>
      <c r="L88" s="28"/>
      <c r="M88" s="30"/>
    </row>
    <row r="89" customFormat="false" ht="15" hidden="false" customHeight="false" outlineLevel="0" collapsed="false">
      <c r="A89" s="26" t="str">
        <f aca="false">IF(C89&lt;&gt;"","G-"&amp;TEXT(ROW()-3,"000"),"")</f>
        <v/>
      </c>
      <c r="B89" s="31"/>
      <c r="C89" s="32"/>
      <c r="D89" s="32"/>
      <c r="E89" s="32"/>
      <c r="F89" s="32"/>
      <c r="G89" s="17"/>
      <c r="H89" s="33"/>
      <c r="I89" s="33"/>
      <c r="J89" s="32"/>
      <c r="K89" s="32"/>
      <c r="L89" s="32"/>
      <c r="M89" s="33"/>
    </row>
    <row r="90" customFormat="false" ht="15" hidden="false" customHeight="false" outlineLevel="0" collapsed="false">
      <c r="A90" s="26" t="str">
        <f aca="false">IF(C90&lt;&gt;"","G-"&amp;TEXT(ROW()-3,"000"),"")</f>
        <v/>
      </c>
      <c r="B90" s="27"/>
      <c r="C90" s="28"/>
      <c r="D90" s="28"/>
      <c r="E90" s="28"/>
      <c r="F90" s="28"/>
      <c r="G90" s="29"/>
      <c r="H90" s="30"/>
      <c r="I90" s="30"/>
      <c r="J90" s="28"/>
      <c r="K90" s="28"/>
      <c r="L90" s="28"/>
      <c r="M90" s="30"/>
    </row>
    <row r="91" customFormat="false" ht="15" hidden="false" customHeight="false" outlineLevel="0" collapsed="false">
      <c r="A91" s="26" t="str">
        <f aca="false">IF(C91&lt;&gt;"","G-"&amp;TEXT(ROW()-3,"000"),"")</f>
        <v/>
      </c>
      <c r="B91" s="31"/>
      <c r="C91" s="32"/>
      <c r="D91" s="32"/>
      <c r="E91" s="32"/>
      <c r="F91" s="32"/>
      <c r="G91" s="17"/>
      <c r="H91" s="33"/>
      <c r="I91" s="33"/>
      <c r="J91" s="32"/>
      <c r="K91" s="32"/>
      <c r="L91" s="32"/>
      <c r="M91" s="33"/>
    </row>
    <row r="92" customFormat="false" ht="15" hidden="false" customHeight="false" outlineLevel="0" collapsed="false">
      <c r="A92" s="26" t="str">
        <f aca="false">IF(C92&lt;&gt;"","G-"&amp;TEXT(ROW()-3,"000"),"")</f>
        <v/>
      </c>
      <c r="B92" s="27"/>
      <c r="C92" s="28"/>
      <c r="D92" s="28"/>
      <c r="E92" s="28"/>
      <c r="F92" s="28"/>
      <c r="G92" s="29"/>
      <c r="H92" s="30"/>
      <c r="I92" s="30"/>
      <c r="J92" s="28"/>
      <c r="K92" s="28"/>
      <c r="L92" s="28"/>
      <c r="M92" s="30"/>
    </row>
    <row r="93" customFormat="false" ht="15" hidden="false" customHeight="false" outlineLevel="0" collapsed="false">
      <c r="A93" s="26" t="str">
        <f aca="false">IF(C93&lt;&gt;"","G-"&amp;TEXT(ROW()-3,"000"),"")</f>
        <v/>
      </c>
      <c r="B93" s="31"/>
      <c r="C93" s="32"/>
      <c r="D93" s="32"/>
      <c r="E93" s="32"/>
      <c r="F93" s="32"/>
      <c r="G93" s="17"/>
      <c r="H93" s="33"/>
      <c r="I93" s="33"/>
      <c r="J93" s="32"/>
      <c r="K93" s="32"/>
      <c r="L93" s="32"/>
      <c r="M93" s="33"/>
    </row>
    <row r="94" customFormat="false" ht="15" hidden="false" customHeight="false" outlineLevel="0" collapsed="false">
      <c r="A94" s="26" t="str">
        <f aca="false">IF(C94&lt;&gt;"","G-"&amp;TEXT(ROW()-3,"000"),"")</f>
        <v/>
      </c>
      <c r="B94" s="27"/>
      <c r="C94" s="28"/>
      <c r="D94" s="28"/>
      <c r="E94" s="28"/>
      <c r="F94" s="28"/>
      <c r="G94" s="29"/>
      <c r="H94" s="30"/>
      <c r="I94" s="30"/>
      <c r="J94" s="28"/>
      <c r="K94" s="28"/>
      <c r="L94" s="28"/>
      <c r="M94" s="30"/>
    </row>
    <row r="95" customFormat="false" ht="15" hidden="false" customHeight="false" outlineLevel="0" collapsed="false">
      <c r="A95" s="26" t="str">
        <f aca="false">IF(C95&lt;&gt;"","G-"&amp;TEXT(ROW()-3,"000"),"")</f>
        <v/>
      </c>
      <c r="B95" s="31"/>
      <c r="C95" s="32"/>
      <c r="D95" s="32"/>
      <c r="E95" s="32"/>
      <c r="F95" s="32"/>
      <c r="G95" s="17"/>
      <c r="H95" s="33"/>
      <c r="I95" s="33"/>
      <c r="J95" s="32"/>
      <c r="K95" s="32"/>
      <c r="L95" s="32"/>
      <c r="M95" s="33"/>
    </row>
    <row r="96" customFormat="false" ht="15" hidden="false" customHeight="false" outlineLevel="0" collapsed="false">
      <c r="A96" s="26" t="str">
        <f aca="false">IF(C96&lt;&gt;"","G-"&amp;TEXT(ROW()-3,"000"),"")</f>
        <v/>
      </c>
      <c r="B96" s="27"/>
      <c r="C96" s="28"/>
      <c r="D96" s="28"/>
      <c r="E96" s="28"/>
      <c r="F96" s="28"/>
      <c r="G96" s="29"/>
      <c r="H96" s="30"/>
      <c r="I96" s="30"/>
      <c r="J96" s="28"/>
      <c r="K96" s="28"/>
      <c r="L96" s="28"/>
      <c r="M96" s="30"/>
    </row>
    <row r="97" customFormat="false" ht="15" hidden="false" customHeight="false" outlineLevel="0" collapsed="false">
      <c r="A97" s="26" t="str">
        <f aca="false">IF(C97&lt;&gt;"","G-"&amp;TEXT(ROW()-3,"000"),"")</f>
        <v/>
      </c>
      <c r="B97" s="31"/>
      <c r="C97" s="32"/>
      <c r="D97" s="32"/>
      <c r="E97" s="32"/>
      <c r="F97" s="32"/>
      <c r="G97" s="17"/>
      <c r="H97" s="33"/>
      <c r="I97" s="33"/>
      <c r="J97" s="32"/>
      <c r="K97" s="32"/>
      <c r="L97" s="32"/>
      <c r="M97" s="33"/>
    </row>
    <row r="98" customFormat="false" ht="15" hidden="false" customHeight="false" outlineLevel="0" collapsed="false">
      <c r="A98" s="26" t="str">
        <f aca="false">IF(C98&lt;&gt;"","G-"&amp;TEXT(ROW()-3,"000"),"")</f>
        <v/>
      </c>
      <c r="B98" s="27"/>
      <c r="C98" s="28"/>
      <c r="D98" s="28"/>
      <c r="E98" s="28"/>
      <c r="F98" s="28"/>
      <c r="G98" s="29"/>
      <c r="H98" s="30"/>
      <c r="I98" s="30"/>
      <c r="J98" s="28"/>
      <c r="K98" s="28"/>
      <c r="L98" s="28"/>
      <c r="M98" s="30"/>
    </row>
    <row r="99" customFormat="false" ht="15" hidden="false" customHeight="false" outlineLevel="0" collapsed="false">
      <c r="A99" s="26" t="str">
        <f aca="false">IF(C99&lt;&gt;"","G-"&amp;TEXT(ROW()-3,"000"),"")</f>
        <v/>
      </c>
      <c r="B99" s="31"/>
      <c r="C99" s="32"/>
      <c r="D99" s="32"/>
      <c r="E99" s="32"/>
      <c r="F99" s="32"/>
      <c r="G99" s="17"/>
      <c r="H99" s="33"/>
      <c r="I99" s="33"/>
      <c r="J99" s="32"/>
      <c r="K99" s="32"/>
      <c r="L99" s="32"/>
      <c r="M99" s="33"/>
    </row>
    <row r="100" customFormat="false" ht="15" hidden="false" customHeight="false" outlineLevel="0" collapsed="false">
      <c r="A100" s="26" t="str">
        <f aca="false">IF(C100&lt;&gt;"","G-"&amp;TEXT(ROW()-3,"000"),"")</f>
        <v/>
      </c>
      <c r="B100" s="27"/>
      <c r="C100" s="28"/>
      <c r="D100" s="28"/>
      <c r="E100" s="28"/>
      <c r="F100" s="28"/>
      <c r="G100" s="29"/>
      <c r="H100" s="30"/>
      <c r="I100" s="30"/>
      <c r="J100" s="28"/>
      <c r="K100" s="28"/>
      <c r="L100" s="28"/>
      <c r="M100" s="30"/>
    </row>
    <row r="101" customFormat="false" ht="15" hidden="false" customHeight="false" outlineLevel="0" collapsed="false">
      <c r="A101" s="26" t="str">
        <f aca="false">IF(C101&lt;&gt;"","G-"&amp;TEXT(ROW()-3,"000"),"")</f>
        <v/>
      </c>
      <c r="B101" s="31"/>
      <c r="C101" s="32"/>
      <c r="D101" s="32"/>
      <c r="E101" s="32"/>
      <c r="F101" s="32"/>
      <c r="G101" s="17"/>
      <c r="H101" s="33"/>
      <c r="I101" s="33"/>
      <c r="J101" s="32"/>
      <c r="K101" s="32"/>
      <c r="L101" s="32"/>
      <c r="M101" s="33"/>
    </row>
    <row r="102" customFormat="false" ht="15" hidden="false" customHeight="false" outlineLevel="0" collapsed="false">
      <c r="A102" s="26" t="str">
        <f aca="false">IF(C102&lt;&gt;"","G-"&amp;TEXT(ROW()-3,"000"),"")</f>
        <v/>
      </c>
      <c r="B102" s="27"/>
      <c r="C102" s="28"/>
      <c r="D102" s="28"/>
      <c r="E102" s="28"/>
      <c r="F102" s="28"/>
      <c r="G102" s="29"/>
      <c r="H102" s="30"/>
      <c r="I102" s="30"/>
      <c r="J102" s="28"/>
      <c r="K102" s="28"/>
      <c r="L102" s="28"/>
      <c r="M102" s="30"/>
    </row>
    <row r="103" customFormat="false" ht="15" hidden="false" customHeight="false" outlineLevel="0" collapsed="false">
      <c r="A103" s="26" t="str">
        <f aca="false">IF(C103&lt;&gt;"","G-"&amp;TEXT(ROW()-3,"000"),"")</f>
        <v/>
      </c>
      <c r="B103" s="31"/>
      <c r="C103" s="32"/>
      <c r="D103" s="32"/>
      <c r="E103" s="32"/>
      <c r="F103" s="32"/>
      <c r="G103" s="17"/>
      <c r="H103" s="33"/>
      <c r="I103" s="33"/>
      <c r="J103" s="32"/>
      <c r="K103" s="32"/>
      <c r="L103" s="32"/>
      <c r="M103" s="33"/>
    </row>
    <row r="104" customFormat="false" ht="15" hidden="false" customHeight="false" outlineLevel="0" collapsed="false">
      <c r="A104" s="26" t="str">
        <f aca="false">IF(C104&lt;&gt;"","G-"&amp;TEXT(ROW()-3,"000"),"")</f>
        <v/>
      </c>
      <c r="B104" s="27"/>
      <c r="C104" s="28"/>
      <c r="D104" s="28"/>
      <c r="E104" s="28"/>
      <c r="F104" s="28"/>
      <c r="G104" s="29"/>
      <c r="H104" s="30"/>
      <c r="I104" s="30"/>
      <c r="J104" s="28"/>
      <c r="K104" s="28"/>
      <c r="L104" s="28"/>
      <c r="M104" s="30"/>
    </row>
    <row r="105" customFormat="false" ht="15" hidden="false" customHeight="false" outlineLevel="0" collapsed="false">
      <c r="A105" s="26" t="str">
        <f aca="false">IF(C105&lt;&gt;"","G-"&amp;TEXT(ROW()-3,"000"),"")</f>
        <v/>
      </c>
      <c r="B105" s="31"/>
      <c r="C105" s="32"/>
      <c r="D105" s="32"/>
      <c r="E105" s="32"/>
      <c r="F105" s="32"/>
      <c r="G105" s="17"/>
      <c r="H105" s="33"/>
      <c r="I105" s="33"/>
      <c r="J105" s="32"/>
      <c r="K105" s="32"/>
      <c r="L105" s="32"/>
      <c r="M105" s="33"/>
    </row>
    <row r="106" customFormat="false" ht="15" hidden="false" customHeight="false" outlineLevel="0" collapsed="false">
      <c r="A106" s="26" t="str">
        <f aca="false">IF(C106&lt;&gt;"","G-"&amp;TEXT(ROW()-3,"000"),"")</f>
        <v/>
      </c>
      <c r="B106" s="27"/>
      <c r="C106" s="28"/>
      <c r="D106" s="28"/>
      <c r="E106" s="28"/>
      <c r="F106" s="28"/>
      <c r="G106" s="29"/>
      <c r="H106" s="30"/>
      <c r="I106" s="30"/>
      <c r="J106" s="28"/>
      <c r="K106" s="28"/>
      <c r="L106" s="28"/>
      <c r="M106" s="30"/>
    </row>
    <row r="107" customFormat="false" ht="15" hidden="false" customHeight="false" outlineLevel="0" collapsed="false">
      <c r="A107" s="26" t="str">
        <f aca="false">IF(C107&lt;&gt;"","G-"&amp;TEXT(ROW()-3,"000"),"")</f>
        <v/>
      </c>
      <c r="B107" s="31"/>
      <c r="C107" s="32"/>
      <c r="D107" s="32"/>
      <c r="E107" s="32"/>
      <c r="F107" s="32"/>
      <c r="G107" s="17"/>
      <c r="H107" s="33"/>
      <c r="I107" s="33"/>
      <c r="J107" s="32"/>
      <c r="K107" s="32"/>
      <c r="L107" s="32"/>
      <c r="M107" s="33"/>
    </row>
    <row r="108" customFormat="false" ht="15" hidden="false" customHeight="false" outlineLevel="0" collapsed="false">
      <c r="A108" s="26" t="str">
        <f aca="false">IF(C108&lt;&gt;"","G-"&amp;TEXT(ROW()-3,"000"),"")</f>
        <v/>
      </c>
      <c r="B108" s="27"/>
      <c r="C108" s="28"/>
      <c r="D108" s="28"/>
      <c r="E108" s="28"/>
      <c r="F108" s="28"/>
      <c r="G108" s="29"/>
      <c r="H108" s="30"/>
      <c r="I108" s="30"/>
      <c r="J108" s="28"/>
      <c r="K108" s="28"/>
      <c r="L108" s="28"/>
      <c r="M108" s="30"/>
    </row>
    <row r="109" customFormat="false" ht="15" hidden="false" customHeight="false" outlineLevel="0" collapsed="false">
      <c r="A109" s="26" t="str">
        <f aca="false">IF(C109&lt;&gt;"","G-"&amp;TEXT(ROW()-3,"000"),"")</f>
        <v/>
      </c>
      <c r="B109" s="31"/>
      <c r="C109" s="32"/>
      <c r="D109" s="32"/>
      <c r="E109" s="32"/>
      <c r="F109" s="32"/>
      <c r="G109" s="17"/>
      <c r="H109" s="33"/>
      <c r="I109" s="33"/>
      <c r="J109" s="32"/>
      <c r="K109" s="32"/>
      <c r="L109" s="32"/>
      <c r="M109" s="33"/>
    </row>
    <row r="110" customFormat="false" ht="15" hidden="false" customHeight="false" outlineLevel="0" collapsed="false">
      <c r="A110" s="26" t="str">
        <f aca="false">IF(C110&lt;&gt;"","G-"&amp;TEXT(ROW()-3,"000"),"")</f>
        <v/>
      </c>
      <c r="B110" s="27"/>
      <c r="C110" s="28"/>
      <c r="D110" s="28"/>
      <c r="E110" s="28"/>
      <c r="F110" s="28"/>
      <c r="G110" s="29"/>
      <c r="H110" s="30"/>
      <c r="I110" s="30"/>
      <c r="J110" s="28"/>
      <c r="K110" s="28"/>
      <c r="L110" s="28"/>
      <c r="M110" s="30"/>
    </row>
    <row r="111" customFormat="false" ht="15" hidden="false" customHeight="false" outlineLevel="0" collapsed="false">
      <c r="A111" s="26" t="str">
        <f aca="false">IF(C111&lt;&gt;"","G-"&amp;TEXT(ROW()-3,"000"),"")</f>
        <v/>
      </c>
      <c r="B111" s="31"/>
      <c r="C111" s="32"/>
      <c r="D111" s="32"/>
      <c r="E111" s="32"/>
      <c r="F111" s="32"/>
      <c r="G111" s="17"/>
      <c r="H111" s="33"/>
      <c r="I111" s="33"/>
      <c r="J111" s="32"/>
      <c r="K111" s="32"/>
      <c r="L111" s="32"/>
      <c r="M111" s="33"/>
    </row>
    <row r="112" customFormat="false" ht="15" hidden="false" customHeight="false" outlineLevel="0" collapsed="false">
      <c r="A112" s="26" t="str">
        <f aca="false">IF(C112&lt;&gt;"","G-"&amp;TEXT(ROW()-3,"000"),"")</f>
        <v/>
      </c>
      <c r="B112" s="27"/>
      <c r="C112" s="28"/>
      <c r="D112" s="28"/>
      <c r="E112" s="28"/>
      <c r="F112" s="28"/>
      <c r="G112" s="29"/>
      <c r="H112" s="30"/>
      <c r="I112" s="30"/>
      <c r="J112" s="28"/>
      <c r="K112" s="28"/>
      <c r="L112" s="28"/>
      <c r="M112" s="30"/>
    </row>
    <row r="113" customFormat="false" ht="15" hidden="false" customHeight="false" outlineLevel="0" collapsed="false">
      <c r="A113" s="26" t="str">
        <f aca="false">IF(C113&lt;&gt;"","G-"&amp;TEXT(ROW()-3,"000"),"")</f>
        <v/>
      </c>
      <c r="B113" s="31"/>
      <c r="C113" s="32"/>
      <c r="D113" s="32"/>
      <c r="E113" s="32"/>
      <c r="F113" s="32"/>
      <c r="G113" s="17"/>
      <c r="H113" s="33"/>
      <c r="I113" s="33"/>
      <c r="J113" s="32"/>
      <c r="K113" s="32"/>
      <c r="L113" s="32"/>
      <c r="M113" s="33"/>
    </row>
    <row r="114" customFormat="false" ht="15" hidden="false" customHeight="false" outlineLevel="0" collapsed="false">
      <c r="A114" s="26" t="str">
        <f aca="false">IF(C114&lt;&gt;"","G-"&amp;TEXT(ROW()-3,"000"),"")</f>
        <v/>
      </c>
      <c r="B114" s="27"/>
      <c r="C114" s="28"/>
      <c r="D114" s="28"/>
      <c r="E114" s="28"/>
      <c r="F114" s="28"/>
      <c r="G114" s="29"/>
      <c r="H114" s="30"/>
      <c r="I114" s="30"/>
      <c r="J114" s="28"/>
      <c r="K114" s="28"/>
      <c r="L114" s="28"/>
      <c r="M114" s="30"/>
    </row>
    <row r="115" customFormat="false" ht="15" hidden="false" customHeight="false" outlineLevel="0" collapsed="false">
      <c r="A115" s="26" t="str">
        <f aca="false">IF(C115&lt;&gt;"","G-"&amp;TEXT(ROW()-3,"000"),"")</f>
        <v/>
      </c>
      <c r="B115" s="31"/>
      <c r="C115" s="32"/>
      <c r="D115" s="32"/>
      <c r="E115" s="32"/>
      <c r="F115" s="32"/>
      <c r="G115" s="17"/>
      <c r="H115" s="33"/>
      <c r="I115" s="33"/>
      <c r="J115" s="32"/>
      <c r="K115" s="32"/>
      <c r="L115" s="32"/>
      <c r="M115" s="33"/>
    </row>
    <row r="116" customFormat="false" ht="15" hidden="false" customHeight="false" outlineLevel="0" collapsed="false">
      <c r="A116" s="26" t="str">
        <f aca="false">IF(C116&lt;&gt;"","G-"&amp;TEXT(ROW()-3,"000"),"")</f>
        <v/>
      </c>
      <c r="B116" s="27"/>
      <c r="C116" s="28"/>
      <c r="D116" s="28"/>
      <c r="E116" s="28"/>
      <c r="F116" s="28"/>
      <c r="G116" s="29"/>
      <c r="H116" s="30"/>
      <c r="I116" s="30"/>
      <c r="J116" s="28"/>
      <c r="K116" s="28"/>
      <c r="L116" s="28"/>
      <c r="M116" s="30"/>
    </row>
    <row r="117" customFormat="false" ht="15" hidden="false" customHeight="false" outlineLevel="0" collapsed="false">
      <c r="A117" s="26" t="str">
        <f aca="false">IF(C117&lt;&gt;"","G-"&amp;TEXT(ROW()-3,"000"),"")</f>
        <v/>
      </c>
      <c r="B117" s="31"/>
      <c r="C117" s="32"/>
      <c r="D117" s="32"/>
      <c r="E117" s="32"/>
      <c r="F117" s="32"/>
      <c r="G117" s="17"/>
      <c r="H117" s="33"/>
      <c r="I117" s="33"/>
      <c r="J117" s="32"/>
      <c r="K117" s="32"/>
      <c r="L117" s="32"/>
      <c r="M117" s="33"/>
    </row>
    <row r="118" customFormat="false" ht="15" hidden="false" customHeight="false" outlineLevel="0" collapsed="false">
      <c r="A118" s="26" t="str">
        <f aca="false">IF(C118&lt;&gt;"","G-"&amp;TEXT(ROW()-3,"000"),"")</f>
        <v/>
      </c>
      <c r="B118" s="27"/>
      <c r="C118" s="28"/>
      <c r="D118" s="28"/>
      <c r="E118" s="28"/>
      <c r="F118" s="28"/>
      <c r="G118" s="29"/>
      <c r="H118" s="30"/>
      <c r="I118" s="30"/>
      <c r="J118" s="28"/>
      <c r="K118" s="28"/>
      <c r="L118" s="28"/>
      <c r="M118" s="30"/>
    </row>
    <row r="119" customFormat="false" ht="15" hidden="false" customHeight="false" outlineLevel="0" collapsed="false">
      <c r="A119" s="26" t="str">
        <f aca="false">IF(C119&lt;&gt;"","G-"&amp;TEXT(ROW()-3,"000"),"")</f>
        <v/>
      </c>
      <c r="B119" s="31"/>
      <c r="C119" s="32"/>
      <c r="D119" s="32"/>
      <c r="E119" s="32"/>
      <c r="F119" s="32"/>
      <c r="G119" s="17"/>
      <c r="H119" s="33"/>
      <c r="I119" s="33"/>
      <c r="J119" s="32"/>
      <c r="K119" s="32"/>
      <c r="L119" s="32"/>
      <c r="M119" s="33"/>
    </row>
    <row r="120" customFormat="false" ht="15" hidden="false" customHeight="false" outlineLevel="0" collapsed="false">
      <c r="A120" s="26" t="str">
        <f aca="false">IF(C120&lt;&gt;"","G-"&amp;TEXT(ROW()-3,"000"),"")</f>
        <v/>
      </c>
      <c r="B120" s="27"/>
      <c r="C120" s="28"/>
      <c r="D120" s="28"/>
      <c r="E120" s="28"/>
      <c r="F120" s="28"/>
      <c r="G120" s="29"/>
      <c r="H120" s="30"/>
      <c r="I120" s="30"/>
      <c r="J120" s="28"/>
      <c r="K120" s="28"/>
      <c r="L120" s="28"/>
      <c r="M120" s="30"/>
    </row>
    <row r="121" customFormat="false" ht="15" hidden="false" customHeight="false" outlineLevel="0" collapsed="false">
      <c r="A121" s="26" t="str">
        <f aca="false">IF(C121&lt;&gt;"","G-"&amp;TEXT(ROW()-3,"000"),"")</f>
        <v/>
      </c>
      <c r="B121" s="31"/>
      <c r="C121" s="32"/>
      <c r="D121" s="32"/>
      <c r="E121" s="32"/>
      <c r="F121" s="32"/>
      <c r="G121" s="17"/>
      <c r="H121" s="33"/>
      <c r="I121" s="33"/>
      <c r="J121" s="32"/>
      <c r="K121" s="32"/>
      <c r="L121" s="32"/>
      <c r="M121" s="33"/>
    </row>
    <row r="122" customFormat="false" ht="15" hidden="false" customHeight="false" outlineLevel="0" collapsed="false">
      <c r="A122" s="26" t="str">
        <f aca="false">IF(C122&lt;&gt;"","G-"&amp;TEXT(ROW()-3,"000"),"")</f>
        <v/>
      </c>
      <c r="B122" s="27"/>
      <c r="C122" s="28"/>
      <c r="D122" s="28"/>
      <c r="E122" s="28"/>
      <c r="F122" s="28"/>
      <c r="G122" s="29"/>
      <c r="H122" s="30"/>
      <c r="I122" s="30"/>
      <c r="J122" s="28"/>
      <c r="K122" s="28"/>
      <c r="L122" s="28"/>
      <c r="M122" s="30"/>
    </row>
    <row r="123" customFormat="false" ht="15" hidden="false" customHeight="false" outlineLevel="0" collapsed="false">
      <c r="A123" s="26" t="str">
        <f aca="false">IF(C123&lt;&gt;"","G-"&amp;TEXT(ROW()-3,"000"),"")</f>
        <v/>
      </c>
      <c r="B123" s="31"/>
      <c r="C123" s="32"/>
      <c r="D123" s="32"/>
      <c r="E123" s="32"/>
      <c r="F123" s="32"/>
      <c r="G123" s="17"/>
      <c r="H123" s="33"/>
      <c r="I123" s="33"/>
      <c r="J123" s="32"/>
      <c r="K123" s="32"/>
      <c r="L123" s="32"/>
      <c r="M123" s="33"/>
    </row>
    <row r="124" customFormat="false" ht="15" hidden="false" customHeight="false" outlineLevel="0" collapsed="false">
      <c r="A124" s="26" t="str">
        <f aca="false">IF(C124&lt;&gt;"","G-"&amp;TEXT(ROW()-3,"000"),"")</f>
        <v/>
      </c>
      <c r="B124" s="27"/>
      <c r="C124" s="28"/>
      <c r="D124" s="28"/>
      <c r="E124" s="28"/>
      <c r="F124" s="28"/>
      <c r="G124" s="29"/>
      <c r="H124" s="30"/>
      <c r="I124" s="30"/>
      <c r="J124" s="28"/>
      <c r="K124" s="28"/>
      <c r="L124" s="28"/>
      <c r="M124" s="30"/>
    </row>
    <row r="125" customFormat="false" ht="15" hidden="false" customHeight="false" outlineLevel="0" collapsed="false">
      <c r="A125" s="26" t="str">
        <f aca="false">IF(C125&lt;&gt;"","G-"&amp;TEXT(ROW()-3,"000"),"")</f>
        <v/>
      </c>
      <c r="B125" s="31"/>
      <c r="C125" s="32"/>
      <c r="D125" s="32"/>
      <c r="E125" s="32"/>
      <c r="F125" s="32"/>
      <c r="G125" s="17"/>
      <c r="H125" s="33"/>
      <c r="I125" s="33"/>
      <c r="J125" s="32"/>
      <c r="K125" s="32"/>
      <c r="L125" s="32"/>
      <c r="M125" s="33"/>
    </row>
    <row r="126" customFormat="false" ht="15" hidden="false" customHeight="false" outlineLevel="0" collapsed="false">
      <c r="A126" s="26" t="str">
        <f aca="false">IF(C126&lt;&gt;"","G-"&amp;TEXT(ROW()-3,"000"),"")</f>
        <v/>
      </c>
      <c r="B126" s="27"/>
      <c r="C126" s="28"/>
      <c r="D126" s="28"/>
      <c r="E126" s="28"/>
      <c r="F126" s="28"/>
      <c r="G126" s="29"/>
      <c r="H126" s="30"/>
      <c r="I126" s="30"/>
      <c r="J126" s="28"/>
      <c r="K126" s="28"/>
      <c r="L126" s="28"/>
      <c r="M126" s="30"/>
    </row>
    <row r="127" customFormat="false" ht="15" hidden="false" customHeight="false" outlineLevel="0" collapsed="false">
      <c r="A127" s="26" t="str">
        <f aca="false">IF(C127&lt;&gt;"","G-"&amp;TEXT(ROW()-3,"000"),"")</f>
        <v/>
      </c>
      <c r="B127" s="31"/>
      <c r="C127" s="32"/>
      <c r="D127" s="32"/>
      <c r="E127" s="32"/>
      <c r="F127" s="32"/>
      <c r="G127" s="17"/>
      <c r="H127" s="33"/>
      <c r="I127" s="33"/>
      <c r="J127" s="32"/>
      <c r="K127" s="32"/>
      <c r="L127" s="32"/>
      <c r="M127" s="33"/>
    </row>
    <row r="128" customFormat="false" ht="15" hidden="false" customHeight="false" outlineLevel="0" collapsed="false">
      <c r="A128" s="26" t="str">
        <f aca="false">IF(C128&lt;&gt;"","G-"&amp;TEXT(ROW()-3,"000"),"")</f>
        <v/>
      </c>
      <c r="B128" s="27"/>
      <c r="C128" s="28"/>
      <c r="D128" s="28"/>
      <c r="E128" s="28"/>
      <c r="F128" s="28"/>
      <c r="G128" s="29"/>
      <c r="H128" s="30"/>
      <c r="I128" s="30"/>
      <c r="J128" s="28"/>
      <c r="K128" s="28"/>
      <c r="L128" s="28"/>
      <c r="M128" s="30"/>
    </row>
    <row r="129" customFormat="false" ht="15" hidden="false" customHeight="false" outlineLevel="0" collapsed="false">
      <c r="A129" s="26" t="str">
        <f aca="false">IF(C129&lt;&gt;"","G-"&amp;TEXT(ROW()-3,"000"),"")</f>
        <v/>
      </c>
      <c r="B129" s="31"/>
      <c r="C129" s="32"/>
      <c r="D129" s="32"/>
      <c r="E129" s="32"/>
      <c r="F129" s="32"/>
      <c r="G129" s="17"/>
      <c r="H129" s="33"/>
      <c r="I129" s="33"/>
      <c r="J129" s="32"/>
      <c r="K129" s="32"/>
      <c r="L129" s="32"/>
      <c r="M129" s="33"/>
    </row>
    <row r="130" customFormat="false" ht="15" hidden="false" customHeight="false" outlineLevel="0" collapsed="false">
      <c r="A130" s="26" t="str">
        <f aca="false">IF(C130&lt;&gt;"","G-"&amp;TEXT(ROW()-3,"000"),"")</f>
        <v/>
      </c>
      <c r="B130" s="27"/>
      <c r="C130" s="28"/>
      <c r="D130" s="28"/>
      <c r="E130" s="28"/>
      <c r="F130" s="28"/>
      <c r="G130" s="29"/>
      <c r="H130" s="30"/>
      <c r="I130" s="30"/>
      <c r="J130" s="28"/>
      <c r="K130" s="28"/>
      <c r="L130" s="28"/>
      <c r="M130" s="30"/>
    </row>
    <row r="131" customFormat="false" ht="15" hidden="false" customHeight="false" outlineLevel="0" collapsed="false">
      <c r="A131" s="26" t="str">
        <f aca="false">IF(C131&lt;&gt;"","G-"&amp;TEXT(ROW()-3,"000"),"")</f>
        <v/>
      </c>
      <c r="B131" s="31"/>
      <c r="C131" s="32"/>
      <c r="D131" s="32"/>
      <c r="E131" s="32"/>
      <c r="F131" s="32"/>
      <c r="G131" s="17"/>
      <c r="H131" s="33"/>
      <c r="I131" s="33"/>
      <c r="J131" s="32"/>
      <c r="K131" s="32"/>
      <c r="L131" s="32"/>
      <c r="M131" s="33"/>
    </row>
    <row r="132" customFormat="false" ht="15" hidden="false" customHeight="false" outlineLevel="0" collapsed="false">
      <c r="A132" s="26" t="str">
        <f aca="false">IF(C132&lt;&gt;"","G-"&amp;TEXT(ROW()-3,"000"),"")</f>
        <v/>
      </c>
      <c r="B132" s="27"/>
      <c r="C132" s="28"/>
      <c r="D132" s="28"/>
      <c r="E132" s="28"/>
      <c r="F132" s="28"/>
      <c r="G132" s="29"/>
      <c r="H132" s="30"/>
      <c r="I132" s="30"/>
      <c r="J132" s="28"/>
      <c r="K132" s="28"/>
      <c r="L132" s="28"/>
      <c r="M132" s="30"/>
    </row>
    <row r="133" customFormat="false" ht="15" hidden="false" customHeight="false" outlineLevel="0" collapsed="false">
      <c r="A133" s="26" t="str">
        <f aca="false">IF(C133&lt;&gt;"","G-"&amp;TEXT(ROW()-3,"000"),"")</f>
        <v/>
      </c>
      <c r="B133" s="31"/>
      <c r="C133" s="32"/>
      <c r="D133" s="32"/>
      <c r="E133" s="32"/>
      <c r="F133" s="32"/>
      <c r="G133" s="17"/>
      <c r="H133" s="33"/>
      <c r="I133" s="33"/>
      <c r="J133" s="32"/>
      <c r="K133" s="32"/>
      <c r="L133" s="32"/>
      <c r="M133" s="33"/>
    </row>
    <row r="134" customFormat="false" ht="15" hidden="false" customHeight="false" outlineLevel="0" collapsed="false">
      <c r="A134" s="26" t="str">
        <f aca="false">IF(C134&lt;&gt;"","G-"&amp;TEXT(ROW()-3,"000"),"")</f>
        <v/>
      </c>
      <c r="B134" s="27"/>
      <c r="C134" s="28"/>
      <c r="D134" s="28"/>
      <c r="E134" s="28"/>
      <c r="F134" s="28"/>
      <c r="G134" s="29"/>
      <c r="H134" s="30"/>
      <c r="I134" s="30"/>
      <c r="J134" s="28"/>
      <c r="K134" s="28"/>
      <c r="L134" s="28"/>
      <c r="M134" s="30"/>
    </row>
    <row r="135" customFormat="false" ht="15" hidden="false" customHeight="false" outlineLevel="0" collapsed="false">
      <c r="A135" s="26" t="str">
        <f aca="false">IF(C135&lt;&gt;"","G-"&amp;TEXT(ROW()-3,"000"),"")</f>
        <v/>
      </c>
      <c r="B135" s="31"/>
      <c r="C135" s="32"/>
      <c r="D135" s="32"/>
      <c r="E135" s="32"/>
      <c r="F135" s="32"/>
      <c r="G135" s="17"/>
      <c r="H135" s="33"/>
      <c r="I135" s="33"/>
      <c r="J135" s="32"/>
      <c r="K135" s="32"/>
      <c r="L135" s="32"/>
      <c r="M135" s="33"/>
    </row>
    <row r="136" customFormat="false" ht="15" hidden="false" customHeight="false" outlineLevel="0" collapsed="false">
      <c r="A136" s="26" t="str">
        <f aca="false">IF(C136&lt;&gt;"","G-"&amp;TEXT(ROW()-3,"000"),"")</f>
        <v/>
      </c>
      <c r="B136" s="27"/>
      <c r="C136" s="28"/>
      <c r="D136" s="28"/>
      <c r="E136" s="28"/>
      <c r="F136" s="28"/>
      <c r="G136" s="29"/>
      <c r="H136" s="30"/>
      <c r="I136" s="30"/>
      <c r="J136" s="28"/>
      <c r="K136" s="28"/>
      <c r="L136" s="28"/>
      <c r="M136" s="30"/>
    </row>
    <row r="137" customFormat="false" ht="15" hidden="false" customHeight="false" outlineLevel="0" collapsed="false">
      <c r="A137" s="26" t="str">
        <f aca="false">IF(C137&lt;&gt;"","G-"&amp;TEXT(ROW()-3,"000"),"")</f>
        <v/>
      </c>
      <c r="B137" s="31"/>
      <c r="C137" s="32"/>
      <c r="D137" s="32"/>
      <c r="E137" s="32"/>
      <c r="F137" s="32"/>
      <c r="G137" s="17"/>
      <c r="H137" s="33"/>
      <c r="I137" s="33"/>
      <c r="J137" s="32"/>
      <c r="K137" s="32"/>
      <c r="L137" s="32"/>
      <c r="M137" s="33"/>
    </row>
    <row r="138" customFormat="false" ht="15" hidden="false" customHeight="false" outlineLevel="0" collapsed="false">
      <c r="A138" s="26" t="str">
        <f aca="false">IF(C138&lt;&gt;"","G-"&amp;TEXT(ROW()-3,"000"),"")</f>
        <v/>
      </c>
      <c r="B138" s="27"/>
      <c r="C138" s="28"/>
      <c r="D138" s="28"/>
      <c r="E138" s="28"/>
      <c r="F138" s="28"/>
      <c r="G138" s="29"/>
      <c r="H138" s="30"/>
      <c r="I138" s="30"/>
      <c r="J138" s="28"/>
      <c r="K138" s="28"/>
      <c r="L138" s="28"/>
      <c r="M138" s="30"/>
    </row>
    <row r="139" customFormat="false" ht="15" hidden="false" customHeight="false" outlineLevel="0" collapsed="false">
      <c r="A139" s="26" t="str">
        <f aca="false">IF(C139&lt;&gt;"","G-"&amp;TEXT(ROW()-3,"000"),"")</f>
        <v/>
      </c>
      <c r="B139" s="31"/>
      <c r="C139" s="32"/>
      <c r="D139" s="32"/>
      <c r="E139" s="32"/>
      <c r="F139" s="32"/>
      <c r="G139" s="17"/>
      <c r="H139" s="33"/>
      <c r="I139" s="33"/>
      <c r="J139" s="32"/>
      <c r="K139" s="32"/>
      <c r="L139" s="32"/>
      <c r="M139" s="33"/>
    </row>
    <row r="140" customFormat="false" ht="15" hidden="false" customHeight="false" outlineLevel="0" collapsed="false">
      <c r="A140" s="26" t="str">
        <f aca="false">IF(C140&lt;&gt;"","G-"&amp;TEXT(ROW()-3,"000"),"")</f>
        <v/>
      </c>
      <c r="B140" s="27"/>
      <c r="C140" s="28"/>
      <c r="D140" s="28"/>
      <c r="E140" s="28"/>
      <c r="F140" s="28"/>
      <c r="G140" s="29"/>
      <c r="H140" s="30"/>
      <c r="I140" s="30"/>
      <c r="J140" s="28"/>
      <c r="K140" s="28"/>
      <c r="L140" s="28"/>
      <c r="M140" s="30"/>
    </row>
    <row r="141" customFormat="false" ht="15" hidden="false" customHeight="false" outlineLevel="0" collapsed="false">
      <c r="A141" s="26" t="str">
        <f aca="false">IF(C141&lt;&gt;"","G-"&amp;TEXT(ROW()-3,"000"),"")</f>
        <v/>
      </c>
      <c r="B141" s="31"/>
      <c r="C141" s="32"/>
      <c r="D141" s="32"/>
      <c r="E141" s="32"/>
      <c r="F141" s="32"/>
      <c r="G141" s="17"/>
      <c r="H141" s="33"/>
      <c r="I141" s="33"/>
      <c r="J141" s="32"/>
      <c r="K141" s="32"/>
      <c r="L141" s="32"/>
      <c r="M141" s="33"/>
    </row>
    <row r="142" customFormat="false" ht="15" hidden="false" customHeight="false" outlineLevel="0" collapsed="false">
      <c r="A142" s="26" t="str">
        <f aca="false">IF(C142&lt;&gt;"","G-"&amp;TEXT(ROW()-3,"000"),"")</f>
        <v/>
      </c>
      <c r="B142" s="27"/>
      <c r="C142" s="28"/>
      <c r="D142" s="28"/>
      <c r="E142" s="28"/>
      <c r="F142" s="28"/>
      <c r="G142" s="29"/>
      <c r="H142" s="30"/>
      <c r="I142" s="30"/>
      <c r="J142" s="28"/>
      <c r="K142" s="28"/>
      <c r="L142" s="28"/>
      <c r="M142" s="30"/>
    </row>
    <row r="143" customFormat="false" ht="15" hidden="false" customHeight="false" outlineLevel="0" collapsed="false">
      <c r="A143" s="26" t="str">
        <f aca="false">IF(C143&lt;&gt;"","G-"&amp;TEXT(ROW()-3,"000"),"")</f>
        <v/>
      </c>
      <c r="B143" s="31"/>
      <c r="C143" s="32"/>
      <c r="D143" s="32"/>
      <c r="E143" s="32"/>
      <c r="F143" s="32"/>
      <c r="G143" s="17"/>
      <c r="H143" s="33"/>
      <c r="I143" s="33"/>
      <c r="J143" s="32"/>
      <c r="K143" s="32"/>
      <c r="L143" s="32"/>
      <c r="M143" s="33"/>
    </row>
    <row r="144" customFormat="false" ht="15" hidden="false" customHeight="false" outlineLevel="0" collapsed="false">
      <c r="A144" s="26" t="str">
        <f aca="false">IF(C144&lt;&gt;"","G-"&amp;TEXT(ROW()-3,"000"),"")</f>
        <v/>
      </c>
      <c r="B144" s="27"/>
      <c r="C144" s="28"/>
      <c r="D144" s="28"/>
      <c r="E144" s="28"/>
      <c r="F144" s="28"/>
      <c r="G144" s="29"/>
      <c r="H144" s="30"/>
      <c r="I144" s="30"/>
      <c r="J144" s="28"/>
      <c r="K144" s="28"/>
      <c r="L144" s="28"/>
      <c r="M144" s="30"/>
    </row>
    <row r="145" customFormat="false" ht="15" hidden="false" customHeight="false" outlineLevel="0" collapsed="false">
      <c r="A145" s="26" t="str">
        <f aca="false">IF(C145&lt;&gt;"","G-"&amp;TEXT(ROW()-3,"000"),"")</f>
        <v/>
      </c>
      <c r="B145" s="31"/>
      <c r="C145" s="32"/>
      <c r="D145" s="32"/>
      <c r="E145" s="32"/>
      <c r="F145" s="32"/>
      <c r="G145" s="17"/>
      <c r="H145" s="33"/>
      <c r="I145" s="33"/>
      <c r="J145" s="32"/>
      <c r="K145" s="32"/>
      <c r="L145" s="32"/>
      <c r="M145" s="33"/>
    </row>
    <row r="146" customFormat="false" ht="15" hidden="false" customHeight="false" outlineLevel="0" collapsed="false">
      <c r="A146" s="26" t="str">
        <f aca="false">IF(C146&lt;&gt;"","G-"&amp;TEXT(ROW()-3,"000"),"")</f>
        <v/>
      </c>
      <c r="B146" s="27"/>
      <c r="C146" s="28"/>
      <c r="D146" s="28"/>
      <c r="E146" s="28"/>
      <c r="F146" s="28"/>
      <c r="G146" s="29"/>
      <c r="H146" s="30"/>
      <c r="I146" s="30"/>
      <c r="J146" s="28"/>
      <c r="K146" s="28"/>
      <c r="L146" s="28"/>
      <c r="M146" s="30"/>
    </row>
    <row r="147" customFormat="false" ht="15" hidden="false" customHeight="false" outlineLevel="0" collapsed="false">
      <c r="A147" s="26" t="str">
        <f aca="false">IF(C147&lt;&gt;"","G-"&amp;TEXT(ROW()-3,"000"),"")</f>
        <v/>
      </c>
      <c r="B147" s="31"/>
      <c r="C147" s="32"/>
      <c r="D147" s="32"/>
      <c r="E147" s="32"/>
      <c r="F147" s="32"/>
      <c r="G147" s="17"/>
      <c r="H147" s="33"/>
      <c r="I147" s="33"/>
      <c r="J147" s="32"/>
      <c r="K147" s="32"/>
      <c r="L147" s="32"/>
      <c r="M147" s="33"/>
    </row>
    <row r="148" customFormat="false" ht="15" hidden="false" customHeight="false" outlineLevel="0" collapsed="false">
      <c r="A148" s="26" t="str">
        <f aca="false">IF(C148&lt;&gt;"","G-"&amp;TEXT(ROW()-3,"000"),"")</f>
        <v/>
      </c>
      <c r="B148" s="27"/>
      <c r="C148" s="28"/>
      <c r="D148" s="28"/>
      <c r="E148" s="28"/>
      <c r="F148" s="28"/>
      <c r="G148" s="29"/>
      <c r="H148" s="30"/>
      <c r="I148" s="30"/>
      <c r="J148" s="28"/>
      <c r="K148" s="28"/>
      <c r="L148" s="28"/>
      <c r="M148" s="30"/>
    </row>
    <row r="149" customFormat="false" ht="15" hidden="false" customHeight="false" outlineLevel="0" collapsed="false">
      <c r="A149" s="26" t="str">
        <f aca="false">IF(C149&lt;&gt;"","G-"&amp;TEXT(ROW()-3,"000"),"")</f>
        <v/>
      </c>
      <c r="B149" s="31"/>
      <c r="C149" s="32"/>
      <c r="D149" s="32"/>
      <c r="E149" s="32"/>
      <c r="F149" s="32"/>
      <c r="G149" s="17"/>
      <c r="H149" s="33"/>
      <c r="I149" s="33"/>
      <c r="J149" s="32"/>
      <c r="K149" s="32"/>
      <c r="L149" s="32"/>
      <c r="M149" s="33"/>
    </row>
    <row r="150" customFormat="false" ht="15" hidden="false" customHeight="false" outlineLevel="0" collapsed="false">
      <c r="A150" s="26" t="str">
        <f aca="false">IF(C150&lt;&gt;"","G-"&amp;TEXT(ROW()-3,"000"),"")</f>
        <v/>
      </c>
      <c r="B150" s="27"/>
      <c r="C150" s="28"/>
      <c r="D150" s="28"/>
      <c r="E150" s="28"/>
      <c r="F150" s="28"/>
      <c r="G150" s="29"/>
      <c r="H150" s="30"/>
      <c r="I150" s="30"/>
      <c r="J150" s="28"/>
      <c r="K150" s="28"/>
      <c r="L150" s="28"/>
      <c r="M150" s="30"/>
    </row>
    <row r="151" customFormat="false" ht="15" hidden="false" customHeight="false" outlineLevel="0" collapsed="false">
      <c r="A151" s="26" t="str">
        <f aca="false">IF(C151&lt;&gt;"","G-"&amp;TEXT(ROW()-3,"000"),"")</f>
        <v/>
      </c>
      <c r="B151" s="31"/>
      <c r="C151" s="32"/>
      <c r="D151" s="32"/>
      <c r="E151" s="32"/>
      <c r="F151" s="32"/>
      <c r="G151" s="17"/>
      <c r="H151" s="33"/>
      <c r="I151" s="33"/>
      <c r="J151" s="32"/>
      <c r="K151" s="32"/>
      <c r="L151" s="32"/>
      <c r="M151" s="33"/>
    </row>
    <row r="152" customFormat="false" ht="15" hidden="false" customHeight="false" outlineLevel="0" collapsed="false">
      <c r="A152" s="26" t="str">
        <f aca="false">IF(C152&lt;&gt;"","G-"&amp;TEXT(ROW()-3,"000"),"")</f>
        <v/>
      </c>
      <c r="B152" s="27"/>
      <c r="C152" s="28"/>
      <c r="D152" s="28"/>
      <c r="E152" s="28"/>
      <c r="F152" s="28"/>
      <c r="G152" s="29"/>
      <c r="H152" s="30"/>
      <c r="I152" s="30"/>
      <c r="J152" s="28"/>
      <c r="K152" s="28"/>
      <c r="L152" s="28"/>
      <c r="M152" s="30"/>
    </row>
    <row r="153" customFormat="false" ht="15" hidden="false" customHeight="false" outlineLevel="0" collapsed="false">
      <c r="A153" s="26" t="str">
        <f aca="false">IF(C153&lt;&gt;"","G-"&amp;TEXT(ROW()-3,"000"),"")</f>
        <v/>
      </c>
      <c r="B153" s="31"/>
      <c r="C153" s="32"/>
      <c r="D153" s="32"/>
      <c r="E153" s="32"/>
      <c r="F153" s="32"/>
      <c r="G153" s="17"/>
      <c r="H153" s="33"/>
      <c r="I153" s="33"/>
      <c r="J153" s="32"/>
      <c r="K153" s="32"/>
      <c r="L153" s="32"/>
      <c r="M153" s="33"/>
    </row>
    <row r="154" customFormat="false" ht="15" hidden="false" customHeight="false" outlineLevel="0" collapsed="false">
      <c r="A154" s="26" t="str">
        <f aca="false">IF(C154&lt;&gt;"","G-"&amp;TEXT(ROW()-3,"000"),"")</f>
        <v/>
      </c>
      <c r="B154" s="27"/>
      <c r="C154" s="28"/>
      <c r="D154" s="28"/>
      <c r="E154" s="28"/>
      <c r="F154" s="28"/>
      <c r="G154" s="29"/>
      <c r="H154" s="30"/>
      <c r="I154" s="30"/>
      <c r="J154" s="28"/>
      <c r="K154" s="28"/>
      <c r="L154" s="28"/>
      <c r="M154" s="30"/>
    </row>
    <row r="155" customFormat="false" ht="15" hidden="false" customHeight="false" outlineLevel="0" collapsed="false">
      <c r="A155" s="26" t="str">
        <f aca="false">IF(C155&lt;&gt;"","G-"&amp;TEXT(ROW()-3,"000"),"")</f>
        <v/>
      </c>
      <c r="B155" s="31"/>
      <c r="C155" s="32"/>
      <c r="D155" s="32"/>
      <c r="E155" s="32"/>
      <c r="F155" s="32"/>
      <c r="G155" s="17"/>
      <c r="H155" s="33"/>
      <c r="I155" s="33"/>
      <c r="J155" s="32"/>
      <c r="K155" s="32"/>
      <c r="L155" s="32"/>
      <c r="M155" s="33"/>
    </row>
    <row r="156" customFormat="false" ht="15" hidden="false" customHeight="false" outlineLevel="0" collapsed="false">
      <c r="A156" s="26" t="str">
        <f aca="false">IF(C156&lt;&gt;"","G-"&amp;TEXT(ROW()-3,"000"),"")</f>
        <v/>
      </c>
      <c r="B156" s="27"/>
      <c r="C156" s="28"/>
      <c r="D156" s="28"/>
      <c r="E156" s="28"/>
      <c r="F156" s="28"/>
      <c r="G156" s="29"/>
      <c r="H156" s="30"/>
      <c r="I156" s="30"/>
      <c r="J156" s="28"/>
      <c r="K156" s="28"/>
      <c r="L156" s="28"/>
      <c r="M156" s="30"/>
    </row>
    <row r="157" customFormat="false" ht="15" hidden="false" customHeight="false" outlineLevel="0" collapsed="false">
      <c r="A157" s="26" t="str">
        <f aca="false">IF(C157&lt;&gt;"","G-"&amp;TEXT(ROW()-3,"000"),"")</f>
        <v/>
      </c>
      <c r="B157" s="31"/>
      <c r="C157" s="32"/>
      <c r="D157" s="32"/>
      <c r="E157" s="32"/>
      <c r="F157" s="32"/>
      <c r="G157" s="17"/>
      <c r="H157" s="33"/>
      <c r="I157" s="33"/>
      <c r="J157" s="32"/>
      <c r="K157" s="32"/>
      <c r="L157" s="32"/>
      <c r="M157" s="33"/>
    </row>
    <row r="158" customFormat="false" ht="15" hidden="false" customHeight="false" outlineLevel="0" collapsed="false">
      <c r="A158" s="26" t="str">
        <f aca="false">IF(C158&lt;&gt;"","G-"&amp;TEXT(ROW()-3,"000"),"")</f>
        <v/>
      </c>
      <c r="B158" s="27"/>
      <c r="C158" s="28"/>
      <c r="D158" s="28"/>
      <c r="E158" s="28"/>
      <c r="F158" s="28"/>
      <c r="G158" s="29"/>
      <c r="H158" s="30"/>
      <c r="I158" s="30"/>
      <c r="J158" s="28"/>
      <c r="K158" s="28"/>
      <c r="L158" s="28"/>
      <c r="M158" s="30"/>
    </row>
    <row r="159" customFormat="false" ht="15" hidden="false" customHeight="false" outlineLevel="0" collapsed="false">
      <c r="A159" s="26" t="str">
        <f aca="false">IF(C159&lt;&gt;"","G-"&amp;TEXT(ROW()-3,"000"),"")</f>
        <v/>
      </c>
      <c r="B159" s="31"/>
      <c r="C159" s="32"/>
      <c r="D159" s="32"/>
      <c r="E159" s="32"/>
      <c r="F159" s="32"/>
      <c r="G159" s="17"/>
      <c r="H159" s="33"/>
      <c r="I159" s="33"/>
      <c r="J159" s="32"/>
      <c r="K159" s="32"/>
      <c r="L159" s="32"/>
      <c r="M159" s="33"/>
    </row>
    <row r="160" customFormat="false" ht="15" hidden="false" customHeight="false" outlineLevel="0" collapsed="false">
      <c r="A160" s="26" t="str">
        <f aca="false">IF(C160&lt;&gt;"","G-"&amp;TEXT(ROW()-3,"000"),"")</f>
        <v/>
      </c>
      <c r="B160" s="27"/>
      <c r="C160" s="28"/>
      <c r="D160" s="28"/>
      <c r="E160" s="28"/>
      <c r="F160" s="28"/>
      <c r="G160" s="29"/>
      <c r="H160" s="30"/>
      <c r="I160" s="30"/>
      <c r="J160" s="28"/>
      <c r="K160" s="28"/>
      <c r="L160" s="28"/>
      <c r="M160" s="30"/>
    </row>
    <row r="161" customFormat="false" ht="15" hidden="false" customHeight="false" outlineLevel="0" collapsed="false">
      <c r="A161" s="26" t="str">
        <f aca="false">IF(C161&lt;&gt;"","G-"&amp;TEXT(ROW()-3,"000"),"")</f>
        <v/>
      </c>
      <c r="B161" s="31"/>
      <c r="C161" s="32"/>
      <c r="D161" s="32"/>
      <c r="E161" s="32"/>
      <c r="F161" s="32"/>
      <c r="G161" s="17"/>
      <c r="H161" s="33"/>
      <c r="I161" s="33"/>
      <c r="J161" s="32"/>
      <c r="K161" s="32"/>
      <c r="L161" s="32"/>
      <c r="M161" s="33"/>
    </row>
    <row r="162" customFormat="false" ht="15" hidden="false" customHeight="false" outlineLevel="0" collapsed="false">
      <c r="A162" s="26" t="str">
        <f aca="false">IF(C162&lt;&gt;"","G-"&amp;TEXT(ROW()-3,"000"),"")</f>
        <v/>
      </c>
      <c r="B162" s="27"/>
      <c r="C162" s="28"/>
      <c r="D162" s="28"/>
      <c r="E162" s="28"/>
      <c r="F162" s="28"/>
      <c r="G162" s="29"/>
      <c r="H162" s="30"/>
      <c r="I162" s="30"/>
      <c r="J162" s="28"/>
      <c r="K162" s="28"/>
      <c r="L162" s="28"/>
      <c r="M162" s="30"/>
    </row>
    <row r="163" customFormat="false" ht="15" hidden="false" customHeight="false" outlineLevel="0" collapsed="false">
      <c r="A163" s="26" t="str">
        <f aca="false">IF(C163&lt;&gt;"","G-"&amp;TEXT(ROW()-3,"000"),"")</f>
        <v/>
      </c>
      <c r="B163" s="31"/>
      <c r="C163" s="32"/>
      <c r="D163" s="32"/>
      <c r="E163" s="32"/>
      <c r="F163" s="32"/>
      <c r="G163" s="17"/>
      <c r="H163" s="33"/>
      <c r="I163" s="33"/>
      <c r="J163" s="32"/>
      <c r="K163" s="32"/>
      <c r="L163" s="32"/>
      <c r="M163" s="33"/>
    </row>
    <row r="164" customFormat="false" ht="15" hidden="false" customHeight="false" outlineLevel="0" collapsed="false">
      <c r="A164" s="26" t="str">
        <f aca="false">IF(C164&lt;&gt;"","G-"&amp;TEXT(ROW()-3,"000"),"")</f>
        <v/>
      </c>
      <c r="B164" s="27"/>
      <c r="C164" s="28"/>
      <c r="D164" s="28"/>
      <c r="E164" s="28"/>
      <c r="F164" s="28"/>
      <c r="G164" s="29"/>
      <c r="H164" s="30"/>
      <c r="I164" s="30"/>
      <c r="J164" s="28"/>
      <c r="K164" s="28"/>
      <c r="L164" s="28"/>
      <c r="M164" s="30"/>
    </row>
    <row r="165" customFormat="false" ht="15" hidden="false" customHeight="false" outlineLevel="0" collapsed="false">
      <c r="A165" s="26" t="str">
        <f aca="false">IF(C165&lt;&gt;"","G-"&amp;TEXT(ROW()-3,"000"),"")</f>
        <v/>
      </c>
      <c r="B165" s="31"/>
      <c r="C165" s="32"/>
      <c r="D165" s="32"/>
      <c r="E165" s="32"/>
      <c r="F165" s="32"/>
      <c r="G165" s="17"/>
      <c r="H165" s="33"/>
      <c r="I165" s="33"/>
      <c r="J165" s="32"/>
      <c r="K165" s="32"/>
      <c r="L165" s="32"/>
      <c r="M165" s="33"/>
    </row>
    <row r="166" customFormat="false" ht="15" hidden="false" customHeight="false" outlineLevel="0" collapsed="false">
      <c r="A166" s="26" t="str">
        <f aca="false">IF(C166&lt;&gt;"","G-"&amp;TEXT(ROW()-3,"000"),"")</f>
        <v/>
      </c>
      <c r="B166" s="27"/>
      <c r="C166" s="28"/>
      <c r="D166" s="28"/>
      <c r="E166" s="28"/>
      <c r="F166" s="28"/>
      <c r="G166" s="29"/>
      <c r="H166" s="30"/>
      <c r="I166" s="30"/>
      <c r="J166" s="28"/>
      <c r="K166" s="28"/>
      <c r="L166" s="28"/>
      <c r="M166" s="30"/>
    </row>
    <row r="167" customFormat="false" ht="15" hidden="false" customHeight="false" outlineLevel="0" collapsed="false">
      <c r="A167" s="26" t="str">
        <f aca="false">IF(C167&lt;&gt;"","G-"&amp;TEXT(ROW()-3,"000"),"")</f>
        <v/>
      </c>
      <c r="B167" s="31"/>
      <c r="C167" s="32"/>
      <c r="D167" s="32"/>
      <c r="E167" s="32"/>
      <c r="F167" s="32"/>
      <c r="G167" s="17"/>
      <c r="H167" s="33"/>
      <c r="I167" s="33"/>
      <c r="J167" s="32"/>
      <c r="K167" s="32"/>
      <c r="L167" s="32"/>
      <c r="M167" s="33"/>
    </row>
    <row r="168" customFormat="false" ht="15" hidden="false" customHeight="false" outlineLevel="0" collapsed="false">
      <c r="A168" s="26" t="str">
        <f aca="false">IF(C168&lt;&gt;"","G-"&amp;TEXT(ROW()-3,"000"),"")</f>
        <v/>
      </c>
      <c r="B168" s="27"/>
      <c r="C168" s="28"/>
      <c r="D168" s="28"/>
      <c r="E168" s="28"/>
      <c r="F168" s="28"/>
      <c r="G168" s="29"/>
      <c r="H168" s="30"/>
      <c r="I168" s="30"/>
      <c r="J168" s="28"/>
      <c r="K168" s="28"/>
      <c r="L168" s="28"/>
      <c r="M168" s="30"/>
    </row>
    <row r="169" customFormat="false" ht="15" hidden="false" customHeight="false" outlineLevel="0" collapsed="false">
      <c r="A169" s="26" t="str">
        <f aca="false">IF(C169&lt;&gt;"","G-"&amp;TEXT(ROW()-3,"000"),"")</f>
        <v/>
      </c>
      <c r="B169" s="31"/>
      <c r="C169" s="32"/>
      <c r="D169" s="32"/>
      <c r="E169" s="32"/>
      <c r="F169" s="32"/>
      <c r="G169" s="17"/>
      <c r="H169" s="33"/>
      <c r="I169" s="33"/>
      <c r="J169" s="32"/>
      <c r="K169" s="32"/>
      <c r="L169" s="32"/>
      <c r="M169" s="33"/>
    </row>
    <row r="170" customFormat="false" ht="15" hidden="false" customHeight="false" outlineLevel="0" collapsed="false">
      <c r="A170" s="26" t="str">
        <f aca="false">IF(C170&lt;&gt;"","G-"&amp;TEXT(ROW()-3,"000"),"")</f>
        <v/>
      </c>
      <c r="B170" s="27"/>
      <c r="C170" s="28"/>
      <c r="D170" s="28"/>
      <c r="E170" s="28"/>
      <c r="F170" s="28"/>
      <c r="G170" s="29"/>
      <c r="H170" s="30"/>
      <c r="I170" s="30"/>
      <c r="J170" s="28"/>
      <c r="K170" s="28"/>
      <c r="L170" s="28"/>
      <c r="M170" s="30"/>
    </row>
    <row r="171" customFormat="false" ht="15" hidden="false" customHeight="false" outlineLevel="0" collapsed="false">
      <c r="A171" s="26" t="str">
        <f aca="false">IF(C171&lt;&gt;"","G-"&amp;TEXT(ROW()-3,"000"),"")</f>
        <v/>
      </c>
      <c r="B171" s="31"/>
      <c r="C171" s="32"/>
      <c r="D171" s="32"/>
      <c r="E171" s="32"/>
      <c r="F171" s="32"/>
      <c r="G171" s="17"/>
      <c r="H171" s="33"/>
      <c r="I171" s="33"/>
      <c r="J171" s="32"/>
      <c r="K171" s="32"/>
      <c r="L171" s="32"/>
      <c r="M171" s="33"/>
    </row>
    <row r="172" customFormat="false" ht="15" hidden="false" customHeight="false" outlineLevel="0" collapsed="false">
      <c r="A172" s="26" t="str">
        <f aca="false">IF(C172&lt;&gt;"","G-"&amp;TEXT(ROW()-3,"000"),"")</f>
        <v/>
      </c>
      <c r="B172" s="27"/>
      <c r="C172" s="28"/>
      <c r="D172" s="28"/>
      <c r="E172" s="28"/>
      <c r="F172" s="28"/>
      <c r="G172" s="29"/>
      <c r="H172" s="30"/>
      <c r="I172" s="30"/>
      <c r="J172" s="28"/>
      <c r="K172" s="28"/>
      <c r="L172" s="28"/>
      <c r="M172" s="30"/>
    </row>
    <row r="173" customFormat="false" ht="15" hidden="false" customHeight="false" outlineLevel="0" collapsed="false">
      <c r="A173" s="26" t="str">
        <f aca="false">IF(C173&lt;&gt;"","G-"&amp;TEXT(ROW()-3,"000"),"")</f>
        <v/>
      </c>
      <c r="B173" s="31"/>
      <c r="C173" s="32"/>
      <c r="D173" s="32"/>
      <c r="E173" s="32"/>
      <c r="F173" s="32"/>
      <c r="G173" s="17"/>
      <c r="H173" s="33"/>
      <c r="I173" s="33"/>
      <c r="J173" s="32"/>
      <c r="K173" s="32"/>
      <c r="L173" s="32"/>
      <c r="M173" s="33"/>
    </row>
    <row r="174" customFormat="false" ht="15" hidden="false" customHeight="false" outlineLevel="0" collapsed="false">
      <c r="A174" s="26" t="str">
        <f aca="false">IF(C174&lt;&gt;"","G-"&amp;TEXT(ROW()-3,"000"),"")</f>
        <v/>
      </c>
      <c r="B174" s="27"/>
      <c r="C174" s="28"/>
      <c r="D174" s="28"/>
      <c r="E174" s="28"/>
      <c r="F174" s="28"/>
      <c r="G174" s="29"/>
      <c r="H174" s="30"/>
      <c r="I174" s="30"/>
      <c r="J174" s="28"/>
      <c r="K174" s="28"/>
      <c r="L174" s="28"/>
      <c r="M174" s="30"/>
    </row>
    <row r="175" customFormat="false" ht="15" hidden="false" customHeight="false" outlineLevel="0" collapsed="false">
      <c r="A175" s="26" t="str">
        <f aca="false">IF(C175&lt;&gt;"","G-"&amp;TEXT(ROW()-3,"000"),"")</f>
        <v/>
      </c>
      <c r="B175" s="31"/>
      <c r="C175" s="32"/>
      <c r="D175" s="32"/>
      <c r="E175" s="32"/>
      <c r="F175" s="32"/>
      <c r="G175" s="17"/>
      <c r="H175" s="33"/>
      <c r="I175" s="33"/>
      <c r="J175" s="32"/>
      <c r="K175" s="32"/>
      <c r="L175" s="32"/>
      <c r="M175" s="33"/>
    </row>
    <row r="176" customFormat="false" ht="15" hidden="false" customHeight="false" outlineLevel="0" collapsed="false">
      <c r="A176" s="26" t="str">
        <f aca="false">IF(C176&lt;&gt;"","G-"&amp;TEXT(ROW()-3,"000"),"")</f>
        <v/>
      </c>
      <c r="B176" s="27"/>
      <c r="C176" s="28"/>
      <c r="D176" s="28"/>
      <c r="E176" s="28"/>
      <c r="F176" s="28"/>
      <c r="G176" s="29"/>
      <c r="H176" s="30"/>
      <c r="I176" s="30"/>
      <c r="J176" s="28"/>
      <c r="K176" s="28"/>
      <c r="L176" s="28"/>
      <c r="M176" s="30"/>
    </row>
    <row r="177" customFormat="false" ht="15" hidden="false" customHeight="false" outlineLevel="0" collapsed="false">
      <c r="A177" s="26" t="str">
        <f aca="false">IF(C177&lt;&gt;"","G-"&amp;TEXT(ROW()-3,"000"),"")</f>
        <v/>
      </c>
      <c r="B177" s="31"/>
      <c r="C177" s="32"/>
      <c r="D177" s="32"/>
      <c r="E177" s="32"/>
      <c r="F177" s="32"/>
      <c r="G177" s="17"/>
      <c r="H177" s="33"/>
      <c r="I177" s="33"/>
      <c r="J177" s="32"/>
      <c r="K177" s="32"/>
      <c r="L177" s="32"/>
      <c r="M177" s="33"/>
    </row>
    <row r="178" customFormat="false" ht="15" hidden="false" customHeight="false" outlineLevel="0" collapsed="false">
      <c r="A178" s="26" t="str">
        <f aca="false">IF(C178&lt;&gt;"","G-"&amp;TEXT(ROW()-3,"000"),"")</f>
        <v/>
      </c>
      <c r="B178" s="27"/>
      <c r="C178" s="28"/>
      <c r="D178" s="28"/>
      <c r="E178" s="28"/>
      <c r="F178" s="28"/>
      <c r="G178" s="29"/>
      <c r="H178" s="30"/>
      <c r="I178" s="30"/>
      <c r="J178" s="28"/>
      <c r="K178" s="28"/>
      <c r="L178" s="28"/>
      <c r="M178" s="30"/>
    </row>
    <row r="179" customFormat="false" ht="15" hidden="false" customHeight="false" outlineLevel="0" collapsed="false">
      <c r="A179" s="26" t="str">
        <f aca="false">IF(C179&lt;&gt;"","G-"&amp;TEXT(ROW()-3,"000"),"")</f>
        <v/>
      </c>
      <c r="B179" s="31"/>
      <c r="C179" s="32"/>
      <c r="D179" s="32"/>
      <c r="E179" s="32"/>
      <c r="F179" s="32"/>
      <c r="G179" s="17"/>
      <c r="H179" s="33"/>
      <c r="I179" s="33"/>
      <c r="J179" s="32"/>
      <c r="K179" s="32"/>
      <c r="L179" s="32"/>
      <c r="M179" s="33"/>
    </row>
    <row r="180" customFormat="false" ht="15" hidden="false" customHeight="false" outlineLevel="0" collapsed="false">
      <c r="A180" s="26" t="str">
        <f aca="false">IF(C180&lt;&gt;"","G-"&amp;TEXT(ROW()-3,"000"),"")</f>
        <v/>
      </c>
      <c r="B180" s="27"/>
      <c r="C180" s="28"/>
      <c r="D180" s="28"/>
      <c r="E180" s="28"/>
      <c r="F180" s="28"/>
      <c r="G180" s="29"/>
      <c r="H180" s="30"/>
      <c r="I180" s="30"/>
      <c r="J180" s="28"/>
      <c r="K180" s="28"/>
      <c r="L180" s="28"/>
      <c r="M180" s="30"/>
    </row>
    <row r="181" customFormat="false" ht="15" hidden="false" customHeight="false" outlineLevel="0" collapsed="false">
      <c r="A181" s="26" t="str">
        <f aca="false">IF(C181&lt;&gt;"","G-"&amp;TEXT(ROW()-3,"000"),"")</f>
        <v/>
      </c>
      <c r="B181" s="31"/>
      <c r="C181" s="32"/>
      <c r="D181" s="32"/>
      <c r="E181" s="32"/>
      <c r="F181" s="32"/>
      <c r="G181" s="17"/>
      <c r="H181" s="33"/>
      <c r="I181" s="33"/>
      <c r="J181" s="32"/>
      <c r="K181" s="32"/>
      <c r="L181" s="32"/>
      <c r="M181" s="33"/>
    </row>
    <row r="182" customFormat="false" ht="15" hidden="false" customHeight="false" outlineLevel="0" collapsed="false">
      <c r="A182" s="26" t="str">
        <f aca="false">IF(C182&lt;&gt;"","G-"&amp;TEXT(ROW()-3,"000"),"")</f>
        <v/>
      </c>
      <c r="B182" s="27"/>
      <c r="C182" s="28"/>
      <c r="D182" s="28"/>
      <c r="E182" s="28"/>
      <c r="F182" s="28"/>
      <c r="G182" s="29"/>
      <c r="H182" s="30"/>
      <c r="I182" s="30"/>
      <c r="J182" s="28"/>
      <c r="K182" s="28"/>
      <c r="L182" s="28"/>
      <c r="M182" s="30"/>
    </row>
    <row r="183" customFormat="false" ht="15" hidden="false" customHeight="false" outlineLevel="0" collapsed="false">
      <c r="A183" s="26" t="str">
        <f aca="false">IF(C183&lt;&gt;"","G-"&amp;TEXT(ROW()-3,"000"),"")</f>
        <v/>
      </c>
      <c r="B183" s="31"/>
      <c r="C183" s="32"/>
      <c r="D183" s="32"/>
      <c r="E183" s="32"/>
      <c r="F183" s="32"/>
      <c r="G183" s="17"/>
      <c r="H183" s="33"/>
      <c r="I183" s="33"/>
      <c r="J183" s="32"/>
      <c r="K183" s="32"/>
      <c r="L183" s="32"/>
      <c r="M183" s="33"/>
    </row>
    <row r="184" customFormat="false" ht="15" hidden="false" customHeight="false" outlineLevel="0" collapsed="false">
      <c r="A184" s="26" t="str">
        <f aca="false">IF(C184&lt;&gt;"","G-"&amp;TEXT(ROW()-3,"000"),"")</f>
        <v/>
      </c>
      <c r="B184" s="27"/>
      <c r="C184" s="28"/>
      <c r="D184" s="28"/>
      <c r="E184" s="28"/>
      <c r="F184" s="28"/>
      <c r="G184" s="29"/>
      <c r="H184" s="30"/>
      <c r="I184" s="30"/>
      <c r="J184" s="28"/>
      <c r="K184" s="28"/>
      <c r="L184" s="28"/>
      <c r="M184" s="30"/>
    </row>
    <row r="185" customFormat="false" ht="15" hidden="false" customHeight="false" outlineLevel="0" collapsed="false">
      <c r="A185" s="26" t="str">
        <f aca="false">IF(C185&lt;&gt;"","G-"&amp;TEXT(ROW()-3,"000"),"")</f>
        <v/>
      </c>
      <c r="B185" s="31"/>
      <c r="C185" s="32"/>
      <c r="D185" s="32"/>
      <c r="E185" s="32"/>
      <c r="F185" s="32"/>
      <c r="G185" s="17"/>
      <c r="H185" s="33"/>
      <c r="I185" s="33"/>
      <c r="J185" s="32"/>
      <c r="K185" s="32"/>
      <c r="L185" s="32"/>
      <c r="M185" s="33"/>
    </row>
    <row r="186" customFormat="false" ht="15" hidden="false" customHeight="false" outlineLevel="0" collapsed="false">
      <c r="A186" s="26" t="str">
        <f aca="false">IF(C186&lt;&gt;"","G-"&amp;TEXT(ROW()-3,"000"),"")</f>
        <v/>
      </c>
      <c r="B186" s="27"/>
      <c r="C186" s="28"/>
      <c r="D186" s="28"/>
      <c r="E186" s="28"/>
      <c r="F186" s="28"/>
      <c r="G186" s="29"/>
      <c r="H186" s="30"/>
      <c r="I186" s="30"/>
      <c r="J186" s="28"/>
      <c r="K186" s="28"/>
      <c r="L186" s="28"/>
      <c r="M186" s="30"/>
    </row>
    <row r="187" customFormat="false" ht="15" hidden="false" customHeight="false" outlineLevel="0" collapsed="false">
      <c r="A187" s="26" t="str">
        <f aca="false">IF(C187&lt;&gt;"","G-"&amp;TEXT(ROW()-3,"000"),"")</f>
        <v/>
      </c>
      <c r="B187" s="31"/>
      <c r="C187" s="32"/>
      <c r="D187" s="32"/>
      <c r="E187" s="32"/>
      <c r="F187" s="32"/>
      <c r="G187" s="17"/>
      <c r="H187" s="33"/>
      <c r="I187" s="33"/>
      <c r="J187" s="32"/>
      <c r="K187" s="32"/>
      <c r="L187" s="32"/>
      <c r="M187" s="33"/>
    </row>
    <row r="188" customFormat="false" ht="15" hidden="false" customHeight="false" outlineLevel="0" collapsed="false">
      <c r="A188" s="26" t="str">
        <f aca="false">IF(C188&lt;&gt;"","G-"&amp;TEXT(ROW()-3,"000"),"")</f>
        <v/>
      </c>
      <c r="B188" s="27"/>
      <c r="C188" s="28"/>
      <c r="D188" s="28"/>
      <c r="E188" s="28"/>
      <c r="F188" s="28"/>
      <c r="G188" s="29"/>
      <c r="H188" s="30"/>
      <c r="I188" s="30"/>
      <c r="J188" s="28"/>
      <c r="K188" s="28"/>
      <c r="L188" s="28"/>
      <c r="M188" s="30"/>
    </row>
    <row r="189" customFormat="false" ht="15" hidden="false" customHeight="false" outlineLevel="0" collapsed="false">
      <c r="A189" s="26" t="str">
        <f aca="false">IF(C189&lt;&gt;"","G-"&amp;TEXT(ROW()-3,"000"),"")</f>
        <v/>
      </c>
      <c r="B189" s="31"/>
      <c r="C189" s="32"/>
      <c r="D189" s="32"/>
      <c r="E189" s="32"/>
      <c r="F189" s="32"/>
      <c r="G189" s="17"/>
      <c r="H189" s="33"/>
      <c r="I189" s="33"/>
      <c r="J189" s="32"/>
      <c r="K189" s="32"/>
      <c r="L189" s="32"/>
      <c r="M189" s="33"/>
    </row>
    <row r="190" customFormat="false" ht="15" hidden="false" customHeight="false" outlineLevel="0" collapsed="false">
      <c r="A190" s="26" t="str">
        <f aca="false">IF(C190&lt;&gt;"","G-"&amp;TEXT(ROW()-3,"000"),"")</f>
        <v/>
      </c>
      <c r="B190" s="27"/>
      <c r="C190" s="28"/>
      <c r="D190" s="28"/>
      <c r="E190" s="28"/>
      <c r="F190" s="28"/>
      <c r="G190" s="29"/>
      <c r="H190" s="30"/>
      <c r="I190" s="30"/>
      <c r="J190" s="28"/>
      <c r="K190" s="28"/>
      <c r="L190" s="28"/>
      <c r="M190" s="30"/>
    </row>
    <row r="191" customFormat="false" ht="15" hidden="false" customHeight="false" outlineLevel="0" collapsed="false">
      <c r="A191" s="26" t="str">
        <f aca="false">IF(C191&lt;&gt;"","G-"&amp;TEXT(ROW()-3,"000"),"")</f>
        <v/>
      </c>
      <c r="B191" s="31"/>
      <c r="C191" s="32"/>
      <c r="D191" s="32"/>
      <c r="E191" s="32"/>
      <c r="F191" s="32"/>
      <c r="G191" s="17"/>
      <c r="H191" s="33"/>
      <c r="I191" s="33"/>
      <c r="J191" s="32"/>
      <c r="K191" s="32"/>
      <c r="L191" s="32"/>
      <c r="M191" s="33"/>
    </row>
    <row r="192" customFormat="false" ht="15" hidden="false" customHeight="false" outlineLevel="0" collapsed="false">
      <c r="A192" s="26" t="str">
        <f aca="false">IF(C192&lt;&gt;"","G-"&amp;TEXT(ROW()-3,"000"),"")</f>
        <v/>
      </c>
      <c r="B192" s="27"/>
      <c r="C192" s="28"/>
      <c r="D192" s="28"/>
      <c r="E192" s="28"/>
      <c r="F192" s="28"/>
      <c r="G192" s="29"/>
      <c r="H192" s="30"/>
      <c r="I192" s="30"/>
      <c r="J192" s="28"/>
      <c r="K192" s="28"/>
      <c r="L192" s="28"/>
      <c r="M192" s="30"/>
    </row>
    <row r="193" customFormat="false" ht="15" hidden="false" customHeight="false" outlineLevel="0" collapsed="false">
      <c r="A193" s="26" t="str">
        <f aca="false">IF(C193&lt;&gt;"","G-"&amp;TEXT(ROW()-3,"000"),"")</f>
        <v/>
      </c>
      <c r="B193" s="31"/>
      <c r="C193" s="32"/>
      <c r="D193" s="32"/>
      <c r="E193" s="32"/>
      <c r="F193" s="32"/>
      <c r="G193" s="17"/>
      <c r="H193" s="33"/>
      <c r="I193" s="33"/>
      <c r="J193" s="32"/>
      <c r="K193" s="32"/>
      <c r="L193" s="32"/>
      <c r="M193" s="33"/>
    </row>
    <row r="194" customFormat="false" ht="15" hidden="false" customHeight="false" outlineLevel="0" collapsed="false">
      <c r="A194" s="26" t="str">
        <f aca="false">IF(C194&lt;&gt;"","G-"&amp;TEXT(ROW()-3,"000"),"")</f>
        <v/>
      </c>
      <c r="B194" s="27"/>
      <c r="C194" s="28"/>
      <c r="D194" s="28"/>
      <c r="E194" s="28"/>
      <c r="F194" s="28"/>
      <c r="G194" s="29"/>
      <c r="H194" s="30"/>
      <c r="I194" s="30"/>
      <c r="J194" s="28"/>
      <c r="K194" s="28"/>
      <c r="L194" s="28"/>
      <c r="M194" s="30"/>
    </row>
    <row r="195" customFormat="false" ht="15" hidden="false" customHeight="false" outlineLevel="0" collapsed="false">
      <c r="A195" s="26" t="str">
        <f aca="false">IF(C195&lt;&gt;"","G-"&amp;TEXT(ROW()-3,"000"),"")</f>
        <v/>
      </c>
      <c r="B195" s="31"/>
      <c r="C195" s="32"/>
      <c r="D195" s="32"/>
      <c r="E195" s="32"/>
      <c r="F195" s="32"/>
      <c r="G195" s="17"/>
      <c r="H195" s="33"/>
      <c r="I195" s="33"/>
      <c r="J195" s="32"/>
      <c r="K195" s="32"/>
      <c r="L195" s="32"/>
      <c r="M195" s="33"/>
    </row>
    <row r="196" customFormat="false" ht="15" hidden="false" customHeight="false" outlineLevel="0" collapsed="false">
      <c r="A196" s="26" t="str">
        <f aca="false">IF(C196&lt;&gt;"","G-"&amp;TEXT(ROW()-3,"000"),"")</f>
        <v/>
      </c>
      <c r="B196" s="27"/>
      <c r="C196" s="28"/>
      <c r="D196" s="28"/>
      <c r="E196" s="28"/>
      <c r="F196" s="28"/>
      <c r="G196" s="29"/>
      <c r="H196" s="30"/>
      <c r="I196" s="30"/>
      <c r="J196" s="28"/>
      <c r="K196" s="28"/>
      <c r="L196" s="28"/>
      <c r="M196" s="30"/>
    </row>
    <row r="197" customFormat="false" ht="15" hidden="false" customHeight="false" outlineLevel="0" collapsed="false">
      <c r="A197" s="26" t="str">
        <f aca="false">IF(C197&lt;&gt;"","G-"&amp;TEXT(ROW()-3,"000"),"")</f>
        <v/>
      </c>
      <c r="B197" s="31"/>
      <c r="C197" s="32"/>
      <c r="D197" s="32"/>
      <c r="E197" s="32"/>
      <c r="F197" s="32"/>
      <c r="G197" s="17"/>
      <c r="H197" s="33"/>
      <c r="I197" s="33"/>
      <c r="J197" s="32"/>
      <c r="K197" s="32"/>
      <c r="L197" s="32"/>
      <c r="M197" s="33"/>
    </row>
    <row r="198" customFormat="false" ht="15" hidden="false" customHeight="false" outlineLevel="0" collapsed="false">
      <c r="A198" s="26" t="str">
        <f aca="false">IF(C198&lt;&gt;"","G-"&amp;TEXT(ROW()-3,"000"),"")</f>
        <v/>
      </c>
      <c r="B198" s="27"/>
      <c r="C198" s="28"/>
      <c r="D198" s="28"/>
      <c r="E198" s="28"/>
      <c r="F198" s="28"/>
      <c r="G198" s="29"/>
      <c r="H198" s="30"/>
      <c r="I198" s="30"/>
      <c r="J198" s="28"/>
      <c r="K198" s="28"/>
      <c r="L198" s="28"/>
      <c r="M198" s="30"/>
    </row>
    <row r="199" customFormat="false" ht="15" hidden="false" customHeight="false" outlineLevel="0" collapsed="false">
      <c r="A199" s="26" t="str">
        <f aca="false">IF(C199&lt;&gt;"","G-"&amp;TEXT(ROW()-3,"000"),"")</f>
        <v/>
      </c>
      <c r="B199" s="31"/>
      <c r="C199" s="32"/>
      <c r="D199" s="32"/>
      <c r="E199" s="32"/>
      <c r="F199" s="32"/>
      <c r="G199" s="17"/>
      <c r="H199" s="33"/>
      <c r="I199" s="33"/>
      <c r="J199" s="32"/>
      <c r="K199" s="32"/>
      <c r="L199" s="32"/>
      <c r="M199" s="33"/>
    </row>
    <row r="200" customFormat="false" ht="15" hidden="false" customHeight="false" outlineLevel="0" collapsed="false">
      <c r="A200" s="26" t="str">
        <f aca="false">IF(C200&lt;&gt;"","G-"&amp;TEXT(ROW()-3,"000"),"")</f>
        <v/>
      </c>
      <c r="B200" s="27"/>
      <c r="C200" s="28"/>
      <c r="D200" s="28"/>
      <c r="E200" s="28"/>
      <c r="F200" s="28"/>
      <c r="G200" s="29"/>
      <c r="H200" s="30"/>
      <c r="I200" s="30"/>
      <c r="J200" s="28"/>
      <c r="K200" s="28"/>
      <c r="L200" s="28"/>
      <c r="M200" s="30"/>
    </row>
    <row r="201" customFormat="false" ht="15" hidden="false" customHeight="false" outlineLevel="0" collapsed="false">
      <c r="A201" s="26" t="str">
        <f aca="false">IF(C201&lt;&gt;"","G-"&amp;TEXT(ROW()-3,"000"),"")</f>
        <v/>
      </c>
      <c r="B201" s="31"/>
      <c r="C201" s="32"/>
      <c r="D201" s="32"/>
      <c r="E201" s="32"/>
      <c r="F201" s="32"/>
      <c r="G201" s="17"/>
      <c r="H201" s="33"/>
      <c r="I201" s="33"/>
      <c r="J201" s="32"/>
      <c r="K201" s="32"/>
      <c r="L201" s="32"/>
      <c r="M201" s="33"/>
    </row>
    <row r="202" customFormat="false" ht="15" hidden="false" customHeight="false" outlineLevel="0" collapsed="false">
      <c r="A202" s="26" t="str">
        <f aca="false">IF(C202&lt;&gt;"","G-"&amp;TEXT(ROW()-3,"000"),"")</f>
        <v/>
      </c>
      <c r="B202" s="27"/>
      <c r="C202" s="28"/>
      <c r="D202" s="28"/>
      <c r="E202" s="28"/>
      <c r="F202" s="28"/>
      <c r="G202" s="29"/>
      <c r="H202" s="30"/>
      <c r="I202" s="30"/>
      <c r="J202" s="28"/>
      <c r="K202" s="28"/>
      <c r="L202" s="28"/>
      <c r="M202" s="30"/>
    </row>
    <row r="203" customFormat="false" ht="15" hidden="false" customHeight="false" outlineLevel="0" collapsed="false">
      <c r="A203" s="26" t="str">
        <f aca="false">IF(C203&lt;&gt;"","G-"&amp;TEXT(ROW()-3,"000"),"")</f>
        <v/>
      </c>
      <c r="B203" s="31"/>
      <c r="C203" s="32"/>
      <c r="D203" s="32"/>
      <c r="E203" s="32"/>
      <c r="F203" s="32"/>
      <c r="G203" s="17"/>
      <c r="H203" s="33"/>
      <c r="I203" s="33"/>
      <c r="J203" s="32"/>
      <c r="K203" s="32"/>
      <c r="L203" s="32"/>
      <c r="M203" s="33"/>
    </row>
  </sheetData>
  <mergeCells count="2">
    <mergeCell ref="A1:P1"/>
    <mergeCell ref="A2:P2"/>
  </mergeCells>
  <conditionalFormatting sqref="I4:I203">
    <cfRule type="cellIs" priority="2" operator="equal" aboveAverage="0" equalAverage="0" bottom="0" percent="0" rank="0" text="" dxfId="0">
      <formula>"Ödendi"</formula>
    </cfRule>
    <cfRule type="cellIs" priority="3" operator="equal" aboveAverage="0" equalAverage="0" bottom="0" percent="0" rank="0" text="" dxfId="1">
      <formula>"Bekliyor"</formula>
    </cfRule>
    <cfRule type="cellIs" priority="4" operator="equal" aboveAverage="0" equalAverage="0" bottom="0" percent="0" rank="0" text="" dxfId="2">
      <formula>"İptal"</formula>
    </cfRule>
  </conditionalFormatting>
  <dataValidations count="7">
    <dataValidation allowBlank="true" errorStyle="stop" operator="between" showDropDown="false" showErrorMessage="false" showInputMessage="false" sqref="D4:D203" type="list">
      <formula1>Kim</formula1>
      <formula2>0</formula2>
    </dataValidation>
    <dataValidation allowBlank="true" errorStyle="stop" operator="between" showDropDown="false" showErrorMessage="false" showInputMessage="false" sqref="E4:E203" type="list">
      <formula1>GiderKat</formula1>
      <formula2>0</formula2>
    </dataValidation>
    <dataValidation allowBlank="true" errorStyle="stop" operator="between" showDropDown="false" showErrorMessage="false" showInputMessage="false" sqref="H4:H203" type="list">
      <formula1>ParaBirim</formula1>
      <formula2>0</formula2>
    </dataValidation>
    <dataValidation allowBlank="true" errorStyle="stop" operator="between" showDropDown="false" showErrorMessage="false" showInputMessage="false" sqref="I4:I203" type="list">
      <formula1>OdemeDurumuGider</formula1>
      <formula2>0</formula2>
    </dataValidation>
    <dataValidation allowBlank="true" errorStyle="stop" operator="between" showDropDown="false" showErrorMessage="false" showInputMessage="false" sqref="J4:J203" type="list">
      <formula1>OdemeYontem</formula1>
      <formula2>0</formula2>
    </dataValidation>
    <dataValidation allowBlank="true" errorStyle="stop" operator="between" showDropDown="false" showErrorMessage="false" showInputMessage="false" sqref="C4:C203" type="list">
      <formula1>Aylar</formula1>
      <formula2>0</formula2>
    </dataValidation>
    <dataValidation allowBlank="true" errorStyle="stop" operator="between" showDropDown="false" showErrorMessage="false" showInputMessage="false" sqref="M4:M203" type="list">
      <formula1>"Evet,Hayır"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5" min="4" style="0" width="20"/>
    <col collapsed="false" customWidth="true" hidden="false" outlineLevel="0" max="6" min="6" style="0" width="28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8"/>
    <col collapsed="false" customWidth="true" hidden="false" outlineLevel="0" max="11" min="10" style="0" width="24"/>
  </cols>
  <sheetData>
    <row r="1" customFormat="false" ht="43.5" hidden="false" customHeight="true" outlineLevel="0" collapsed="false">
      <c r="A1" s="24" t="s">
        <v>51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customFormat="false" ht="21.75" hidden="false" customHeight="true" outlineLevel="0" collapsed="false">
      <c r="A2" s="25" t="s">
        <v>38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customFormat="false" ht="30" hidden="false" customHeight="true" outlineLevel="0" collapsed="false">
      <c r="A3" s="34" t="s">
        <v>39</v>
      </c>
      <c r="B3" s="34" t="s">
        <v>40</v>
      </c>
      <c r="C3" s="34" t="s">
        <v>41</v>
      </c>
      <c r="D3" s="34" t="s">
        <v>52</v>
      </c>
      <c r="E3" s="34" t="s">
        <v>21</v>
      </c>
      <c r="F3" s="34" t="s">
        <v>43</v>
      </c>
      <c r="G3" s="34" t="s">
        <v>44</v>
      </c>
      <c r="H3" s="34" t="s">
        <v>45</v>
      </c>
      <c r="I3" s="34" t="s">
        <v>53</v>
      </c>
      <c r="J3" s="34" t="s">
        <v>54</v>
      </c>
      <c r="K3" s="34" t="s">
        <v>49</v>
      </c>
    </row>
    <row r="4" customFormat="false" ht="15" hidden="false" customHeight="false" outlineLevel="0" collapsed="false">
      <c r="A4" s="26" t="str">
        <f aca="false">IF(C4&lt;&gt;"","G-"&amp;TEXT(ROW()-3,"000"),"")</f>
        <v/>
      </c>
      <c r="B4" s="27"/>
      <c r="C4" s="28"/>
      <c r="D4" s="28"/>
      <c r="E4" s="28"/>
      <c r="F4" s="28"/>
      <c r="G4" s="29"/>
      <c r="H4" s="30"/>
      <c r="I4" s="30"/>
      <c r="J4" s="28"/>
      <c r="K4" s="28"/>
    </row>
    <row r="5" customFormat="false" ht="15" hidden="false" customHeight="false" outlineLevel="0" collapsed="false">
      <c r="A5" s="26" t="str">
        <f aca="false">IF(C5&lt;&gt;"","G-"&amp;TEXT(ROW()-3,"000"),"")</f>
        <v/>
      </c>
      <c r="B5" s="31"/>
      <c r="C5" s="32"/>
      <c r="D5" s="32"/>
      <c r="E5" s="32"/>
      <c r="F5" s="32"/>
      <c r="G5" s="17"/>
      <c r="H5" s="33"/>
      <c r="I5" s="33"/>
      <c r="J5" s="32"/>
      <c r="K5" s="32"/>
    </row>
    <row r="6" customFormat="false" ht="15" hidden="false" customHeight="false" outlineLevel="0" collapsed="false">
      <c r="A6" s="26" t="str">
        <f aca="false">IF(C6&lt;&gt;"","G-"&amp;TEXT(ROW()-3,"000"),"")</f>
        <v/>
      </c>
      <c r="B6" s="27"/>
      <c r="C6" s="28"/>
      <c r="D6" s="28"/>
      <c r="E6" s="28"/>
      <c r="F6" s="28"/>
      <c r="G6" s="29"/>
      <c r="H6" s="30"/>
      <c r="I6" s="30"/>
      <c r="J6" s="28"/>
      <c r="K6" s="28"/>
    </row>
    <row r="7" customFormat="false" ht="15" hidden="false" customHeight="false" outlineLevel="0" collapsed="false">
      <c r="A7" s="26" t="str">
        <f aca="false">IF(C7&lt;&gt;"","G-"&amp;TEXT(ROW()-3,"000"),"")</f>
        <v/>
      </c>
      <c r="B7" s="31"/>
      <c r="C7" s="32"/>
      <c r="D7" s="32"/>
      <c r="E7" s="32"/>
      <c r="F7" s="32"/>
      <c r="G7" s="17"/>
      <c r="H7" s="33"/>
      <c r="I7" s="33"/>
      <c r="J7" s="32"/>
      <c r="K7" s="32"/>
    </row>
    <row r="8" customFormat="false" ht="15" hidden="false" customHeight="false" outlineLevel="0" collapsed="false">
      <c r="A8" s="26" t="str">
        <f aca="false">IF(C8&lt;&gt;"","G-"&amp;TEXT(ROW()-3,"000"),"")</f>
        <v/>
      </c>
      <c r="B8" s="27"/>
      <c r="C8" s="28"/>
      <c r="D8" s="28"/>
      <c r="E8" s="28"/>
      <c r="F8" s="28"/>
      <c r="G8" s="29"/>
      <c r="H8" s="30"/>
      <c r="I8" s="30"/>
      <c r="J8" s="28"/>
      <c r="K8" s="28"/>
    </row>
    <row r="9" customFormat="false" ht="15" hidden="false" customHeight="false" outlineLevel="0" collapsed="false">
      <c r="A9" s="26" t="str">
        <f aca="false">IF(C9&lt;&gt;"","G-"&amp;TEXT(ROW()-3,"000"),"")</f>
        <v/>
      </c>
      <c r="B9" s="31"/>
      <c r="C9" s="32"/>
      <c r="D9" s="32"/>
      <c r="E9" s="32"/>
      <c r="F9" s="32"/>
      <c r="G9" s="17"/>
      <c r="H9" s="33"/>
      <c r="I9" s="33"/>
      <c r="J9" s="32"/>
      <c r="K9" s="32"/>
    </row>
    <row r="10" customFormat="false" ht="15" hidden="false" customHeight="false" outlineLevel="0" collapsed="false">
      <c r="A10" s="26" t="str">
        <f aca="false">IF(C10&lt;&gt;"","G-"&amp;TEXT(ROW()-3,"000"),"")</f>
        <v/>
      </c>
      <c r="B10" s="27"/>
      <c r="C10" s="28"/>
      <c r="D10" s="28"/>
      <c r="E10" s="28"/>
      <c r="F10" s="28"/>
      <c r="G10" s="29"/>
      <c r="H10" s="30"/>
      <c r="I10" s="30"/>
      <c r="J10" s="28"/>
      <c r="K10" s="28"/>
    </row>
    <row r="11" customFormat="false" ht="15" hidden="false" customHeight="false" outlineLevel="0" collapsed="false">
      <c r="A11" s="26" t="str">
        <f aca="false">IF(C11&lt;&gt;"","G-"&amp;TEXT(ROW()-3,"000"),"")</f>
        <v/>
      </c>
      <c r="B11" s="31"/>
      <c r="C11" s="32"/>
      <c r="D11" s="32"/>
      <c r="E11" s="32"/>
      <c r="F11" s="32"/>
      <c r="G11" s="17"/>
      <c r="H11" s="33"/>
      <c r="I11" s="33"/>
      <c r="J11" s="32"/>
      <c r="K11" s="32"/>
    </row>
    <row r="12" customFormat="false" ht="15" hidden="false" customHeight="false" outlineLevel="0" collapsed="false">
      <c r="A12" s="26" t="str">
        <f aca="false">IF(C12&lt;&gt;"","G-"&amp;TEXT(ROW()-3,"000"),"")</f>
        <v/>
      </c>
      <c r="B12" s="27"/>
      <c r="C12" s="28"/>
      <c r="D12" s="28"/>
      <c r="E12" s="28"/>
      <c r="F12" s="28"/>
      <c r="G12" s="29"/>
      <c r="H12" s="30"/>
      <c r="I12" s="30"/>
      <c r="J12" s="28"/>
      <c r="K12" s="28"/>
    </row>
    <row r="13" customFormat="false" ht="15" hidden="false" customHeight="false" outlineLevel="0" collapsed="false">
      <c r="A13" s="26" t="str">
        <f aca="false">IF(C13&lt;&gt;"","G-"&amp;TEXT(ROW()-3,"000"),"")</f>
        <v/>
      </c>
      <c r="B13" s="31"/>
      <c r="C13" s="32"/>
      <c r="D13" s="32"/>
      <c r="E13" s="32"/>
      <c r="F13" s="32"/>
      <c r="G13" s="17"/>
      <c r="H13" s="33"/>
      <c r="I13" s="33"/>
      <c r="J13" s="32"/>
      <c r="K13" s="32"/>
    </row>
    <row r="14" customFormat="false" ht="15" hidden="false" customHeight="false" outlineLevel="0" collapsed="false">
      <c r="A14" s="26" t="str">
        <f aca="false">IF(C14&lt;&gt;"","G-"&amp;TEXT(ROW()-3,"000"),"")</f>
        <v/>
      </c>
      <c r="B14" s="27"/>
      <c r="C14" s="28"/>
      <c r="D14" s="28"/>
      <c r="E14" s="28"/>
      <c r="F14" s="28"/>
      <c r="G14" s="29"/>
      <c r="H14" s="30"/>
      <c r="I14" s="30"/>
      <c r="J14" s="28"/>
      <c r="K14" s="28"/>
    </row>
    <row r="15" customFormat="false" ht="15" hidden="false" customHeight="false" outlineLevel="0" collapsed="false">
      <c r="A15" s="26" t="str">
        <f aca="false">IF(C15&lt;&gt;"","G-"&amp;TEXT(ROW()-3,"000"),"")</f>
        <v/>
      </c>
      <c r="B15" s="31"/>
      <c r="C15" s="32"/>
      <c r="D15" s="32"/>
      <c r="E15" s="32"/>
      <c r="F15" s="32"/>
      <c r="G15" s="17"/>
      <c r="H15" s="33"/>
      <c r="I15" s="33"/>
      <c r="J15" s="32"/>
      <c r="K15" s="32"/>
    </row>
    <row r="16" customFormat="false" ht="15" hidden="false" customHeight="false" outlineLevel="0" collapsed="false">
      <c r="A16" s="26" t="str">
        <f aca="false">IF(C16&lt;&gt;"","G-"&amp;TEXT(ROW()-3,"000"),"")</f>
        <v/>
      </c>
      <c r="B16" s="27"/>
      <c r="C16" s="28"/>
      <c r="D16" s="28"/>
      <c r="E16" s="28"/>
      <c r="F16" s="28"/>
      <c r="G16" s="29"/>
      <c r="H16" s="30"/>
      <c r="I16" s="30"/>
      <c r="J16" s="28"/>
      <c r="K16" s="28"/>
    </row>
    <row r="17" customFormat="false" ht="15" hidden="false" customHeight="false" outlineLevel="0" collapsed="false">
      <c r="A17" s="26" t="str">
        <f aca="false">IF(C17&lt;&gt;"","G-"&amp;TEXT(ROW()-3,"000"),"")</f>
        <v/>
      </c>
      <c r="B17" s="31"/>
      <c r="C17" s="32"/>
      <c r="D17" s="32"/>
      <c r="E17" s="32"/>
      <c r="F17" s="32"/>
      <c r="G17" s="17"/>
      <c r="H17" s="33"/>
      <c r="I17" s="33"/>
      <c r="J17" s="32"/>
      <c r="K17" s="32"/>
    </row>
    <row r="18" customFormat="false" ht="15" hidden="false" customHeight="false" outlineLevel="0" collapsed="false">
      <c r="A18" s="26" t="str">
        <f aca="false">IF(C18&lt;&gt;"","G-"&amp;TEXT(ROW()-3,"000"),"")</f>
        <v/>
      </c>
      <c r="B18" s="27"/>
      <c r="C18" s="28"/>
      <c r="D18" s="28"/>
      <c r="E18" s="28"/>
      <c r="F18" s="28"/>
      <c r="G18" s="29"/>
      <c r="H18" s="30"/>
      <c r="I18" s="30"/>
      <c r="J18" s="28"/>
      <c r="K18" s="28"/>
    </row>
    <row r="19" customFormat="false" ht="15" hidden="false" customHeight="false" outlineLevel="0" collapsed="false">
      <c r="A19" s="26" t="str">
        <f aca="false">IF(C19&lt;&gt;"","G-"&amp;TEXT(ROW()-3,"000"),"")</f>
        <v/>
      </c>
      <c r="B19" s="31"/>
      <c r="C19" s="32"/>
      <c r="D19" s="32"/>
      <c r="E19" s="32"/>
      <c r="F19" s="32"/>
      <c r="G19" s="17"/>
      <c r="H19" s="33"/>
      <c r="I19" s="33"/>
      <c r="J19" s="32"/>
      <c r="K19" s="32"/>
    </row>
    <row r="20" customFormat="false" ht="15" hidden="false" customHeight="false" outlineLevel="0" collapsed="false">
      <c r="A20" s="26" t="str">
        <f aca="false">IF(C20&lt;&gt;"","G-"&amp;TEXT(ROW()-3,"000"),"")</f>
        <v/>
      </c>
      <c r="B20" s="27"/>
      <c r="C20" s="28"/>
      <c r="D20" s="28"/>
      <c r="E20" s="28"/>
      <c r="F20" s="28"/>
      <c r="G20" s="29"/>
      <c r="H20" s="30"/>
      <c r="I20" s="30"/>
      <c r="J20" s="28"/>
      <c r="K20" s="28"/>
    </row>
    <row r="21" customFormat="false" ht="15" hidden="false" customHeight="false" outlineLevel="0" collapsed="false">
      <c r="A21" s="26" t="str">
        <f aca="false">IF(C21&lt;&gt;"","G-"&amp;TEXT(ROW()-3,"000"),"")</f>
        <v/>
      </c>
      <c r="B21" s="31"/>
      <c r="C21" s="32"/>
      <c r="D21" s="32"/>
      <c r="E21" s="32"/>
      <c r="F21" s="32"/>
      <c r="G21" s="17"/>
      <c r="H21" s="33"/>
      <c r="I21" s="33"/>
      <c r="J21" s="32"/>
      <c r="K21" s="32"/>
    </row>
    <row r="22" customFormat="false" ht="15" hidden="false" customHeight="false" outlineLevel="0" collapsed="false">
      <c r="A22" s="26" t="str">
        <f aca="false">IF(C22&lt;&gt;"","G-"&amp;TEXT(ROW()-3,"000"),"")</f>
        <v/>
      </c>
      <c r="B22" s="27"/>
      <c r="C22" s="28"/>
      <c r="D22" s="28"/>
      <c r="E22" s="28"/>
      <c r="F22" s="28"/>
      <c r="G22" s="29"/>
      <c r="H22" s="30"/>
      <c r="I22" s="30"/>
      <c r="J22" s="28"/>
      <c r="K22" s="28"/>
    </row>
    <row r="23" customFormat="false" ht="15" hidden="false" customHeight="false" outlineLevel="0" collapsed="false">
      <c r="A23" s="26" t="str">
        <f aca="false">IF(C23&lt;&gt;"","G-"&amp;TEXT(ROW()-3,"000"),"")</f>
        <v/>
      </c>
      <c r="B23" s="31"/>
      <c r="C23" s="32"/>
      <c r="D23" s="32"/>
      <c r="E23" s="32"/>
      <c r="F23" s="32"/>
      <c r="G23" s="17"/>
      <c r="H23" s="33"/>
      <c r="I23" s="33"/>
      <c r="J23" s="32"/>
      <c r="K23" s="32"/>
    </row>
    <row r="24" customFormat="false" ht="15" hidden="false" customHeight="false" outlineLevel="0" collapsed="false">
      <c r="A24" s="26" t="str">
        <f aca="false">IF(C24&lt;&gt;"","G-"&amp;TEXT(ROW()-3,"000"),"")</f>
        <v/>
      </c>
      <c r="B24" s="27"/>
      <c r="C24" s="28"/>
      <c r="D24" s="28"/>
      <c r="E24" s="28"/>
      <c r="F24" s="28"/>
      <c r="G24" s="29"/>
      <c r="H24" s="30"/>
      <c r="I24" s="30"/>
      <c r="J24" s="28"/>
      <c r="K24" s="28"/>
    </row>
    <row r="25" customFormat="false" ht="15" hidden="false" customHeight="false" outlineLevel="0" collapsed="false">
      <c r="A25" s="26" t="str">
        <f aca="false">IF(C25&lt;&gt;"","G-"&amp;TEXT(ROW()-3,"000"),"")</f>
        <v/>
      </c>
      <c r="B25" s="31"/>
      <c r="C25" s="32"/>
      <c r="D25" s="32"/>
      <c r="E25" s="32"/>
      <c r="F25" s="32"/>
      <c r="G25" s="17"/>
      <c r="H25" s="33"/>
      <c r="I25" s="33"/>
      <c r="J25" s="32"/>
      <c r="K25" s="32"/>
    </row>
    <row r="26" customFormat="false" ht="15" hidden="false" customHeight="false" outlineLevel="0" collapsed="false">
      <c r="A26" s="26" t="str">
        <f aca="false">IF(C26&lt;&gt;"","G-"&amp;TEXT(ROW()-3,"000"),"")</f>
        <v/>
      </c>
      <c r="B26" s="27"/>
      <c r="C26" s="28"/>
      <c r="D26" s="28"/>
      <c r="E26" s="28"/>
      <c r="F26" s="28"/>
      <c r="G26" s="29"/>
      <c r="H26" s="30"/>
      <c r="I26" s="30"/>
      <c r="J26" s="28"/>
      <c r="K26" s="28"/>
    </row>
    <row r="27" customFormat="false" ht="15" hidden="false" customHeight="false" outlineLevel="0" collapsed="false">
      <c r="A27" s="26" t="str">
        <f aca="false">IF(C27&lt;&gt;"","G-"&amp;TEXT(ROW()-3,"000"),"")</f>
        <v/>
      </c>
      <c r="B27" s="31"/>
      <c r="C27" s="32"/>
      <c r="D27" s="32"/>
      <c r="E27" s="32"/>
      <c r="F27" s="32"/>
      <c r="G27" s="17"/>
      <c r="H27" s="33"/>
      <c r="I27" s="33"/>
      <c r="J27" s="32"/>
      <c r="K27" s="32"/>
    </row>
    <row r="28" customFormat="false" ht="15" hidden="false" customHeight="false" outlineLevel="0" collapsed="false">
      <c r="A28" s="26" t="str">
        <f aca="false">IF(C28&lt;&gt;"","G-"&amp;TEXT(ROW()-3,"000"),"")</f>
        <v/>
      </c>
      <c r="B28" s="27"/>
      <c r="C28" s="28"/>
      <c r="D28" s="28"/>
      <c r="E28" s="28"/>
      <c r="F28" s="28"/>
      <c r="G28" s="29"/>
      <c r="H28" s="30"/>
      <c r="I28" s="30"/>
      <c r="J28" s="28"/>
      <c r="K28" s="28"/>
    </row>
    <row r="29" customFormat="false" ht="15" hidden="false" customHeight="false" outlineLevel="0" collapsed="false">
      <c r="A29" s="26" t="str">
        <f aca="false">IF(C29&lt;&gt;"","G-"&amp;TEXT(ROW()-3,"000"),"")</f>
        <v/>
      </c>
      <c r="B29" s="31"/>
      <c r="C29" s="32"/>
      <c r="D29" s="32"/>
      <c r="E29" s="32"/>
      <c r="F29" s="32"/>
      <c r="G29" s="17"/>
      <c r="H29" s="33"/>
      <c r="I29" s="33"/>
      <c r="J29" s="32"/>
      <c r="K29" s="32"/>
    </row>
    <row r="30" customFormat="false" ht="15" hidden="false" customHeight="false" outlineLevel="0" collapsed="false">
      <c r="A30" s="26" t="str">
        <f aca="false">IF(C30&lt;&gt;"","G-"&amp;TEXT(ROW()-3,"000"),"")</f>
        <v/>
      </c>
      <c r="B30" s="27"/>
      <c r="C30" s="28"/>
      <c r="D30" s="28"/>
      <c r="E30" s="28"/>
      <c r="F30" s="28"/>
      <c r="G30" s="29"/>
      <c r="H30" s="30"/>
      <c r="I30" s="30"/>
      <c r="J30" s="28"/>
      <c r="K30" s="28"/>
    </row>
    <row r="31" customFormat="false" ht="15" hidden="false" customHeight="false" outlineLevel="0" collapsed="false">
      <c r="A31" s="26" t="str">
        <f aca="false">IF(C31&lt;&gt;"","G-"&amp;TEXT(ROW()-3,"000"),"")</f>
        <v/>
      </c>
      <c r="B31" s="31"/>
      <c r="C31" s="32"/>
      <c r="D31" s="32"/>
      <c r="E31" s="32"/>
      <c r="F31" s="32"/>
      <c r="G31" s="17"/>
      <c r="H31" s="33"/>
      <c r="I31" s="33"/>
      <c r="J31" s="32"/>
      <c r="K31" s="32"/>
    </row>
    <row r="32" customFormat="false" ht="15" hidden="false" customHeight="false" outlineLevel="0" collapsed="false">
      <c r="A32" s="26" t="str">
        <f aca="false">IF(C32&lt;&gt;"","G-"&amp;TEXT(ROW()-3,"000"),"")</f>
        <v/>
      </c>
      <c r="B32" s="27"/>
      <c r="C32" s="28"/>
      <c r="D32" s="28"/>
      <c r="E32" s="28"/>
      <c r="F32" s="28"/>
      <c r="G32" s="29"/>
      <c r="H32" s="30"/>
      <c r="I32" s="30"/>
      <c r="J32" s="28"/>
      <c r="K32" s="28"/>
    </row>
    <row r="33" customFormat="false" ht="15" hidden="false" customHeight="false" outlineLevel="0" collapsed="false">
      <c r="A33" s="26" t="str">
        <f aca="false">IF(C33&lt;&gt;"","G-"&amp;TEXT(ROW()-3,"000"),"")</f>
        <v/>
      </c>
      <c r="B33" s="31"/>
      <c r="C33" s="32"/>
      <c r="D33" s="32"/>
      <c r="E33" s="32"/>
      <c r="F33" s="32"/>
      <c r="G33" s="17"/>
      <c r="H33" s="33"/>
      <c r="I33" s="33"/>
      <c r="J33" s="32"/>
      <c r="K33" s="32"/>
    </row>
    <row r="34" customFormat="false" ht="15" hidden="false" customHeight="false" outlineLevel="0" collapsed="false">
      <c r="A34" s="26" t="str">
        <f aca="false">IF(C34&lt;&gt;"","G-"&amp;TEXT(ROW()-3,"000"),"")</f>
        <v/>
      </c>
      <c r="B34" s="27"/>
      <c r="C34" s="28"/>
      <c r="D34" s="28"/>
      <c r="E34" s="28"/>
      <c r="F34" s="28"/>
      <c r="G34" s="29"/>
      <c r="H34" s="30"/>
      <c r="I34" s="30"/>
      <c r="J34" s="28"/>
      <c r="K34" s="28"/>
    </row>
    <row r="35" customFormat="false" ht="15" hidden="false" customHeight="false" outlineLevel="0" collapsed="false">
      <c r="A35" s="26" t="str">
        <f aca="false">IF(C35&lt;&gt;"","G-"&amp;TEXT(ROW()-3,"000"),"")</f>
        <v/>
      </c>
      <c r="B35" s="31"/>
      <c r="C35" s="32"/>
      <c r="D35" s="32"/>
      <c r="E35" s="32"/>
      <c r="F35" s="32"/>
      <c r="G35" s="17"/>
      <c r="H35" s="33"/>
      <c r="I35" s="33"/>
      <c r="J35" s="32"/>
      <c r="K35" s="32"/>
    </row>
    <row r="36" customFormat="false" ht="15" hidden="false" customHeight="false" outlineLevel="0" collapsed="false">
      <c r="A36" s="26" t="str">
        <f aca="false">IF(C36&lt;&gt;"","G-"&amp;TEXT(ROW()-3,"000"),"")</f>
        <v/>
      </c>
      <c r="B36" s="27"/>
      <c r="C36" s="28"/>
      <c r="D36" s="28"/>
      <c r="E36" s="28"/>
      <c r="F36" s="28"/>
      <c r="G36" s="29"/>
      <c r="H36" s="30"/>
      <c r="I36" s="30"/>
      <c r="J36" s="28"/>
      <c r="K36" s="28"/>
    </row>
    <row r="37" customFormat="false" ht="15" hidden="false" customHeight="false" outlineLevel="0" collapsed="false">
      <c r="A37" s="26" t="str">
        <f aca="false">IF(C37&lt;&gt;"","G-"&amp;TEXT(ROW()-3,"000"),"")</f>
        <v/>
      </c>
      <c r="B37" s="31"/>
      <c r="C37" s="32"/>
      <c r="D37" s="32"/>
      <c r="E37" s="32"/>
      <c r="F37" s="32"/>
      <c r="G37" s="17"/>
      <c r="H37" s="33"/>
      <c r="I37" s="33"/>
      <c r="J37" s="32"/>
      <c r="K37" s="32"/>
    </row>
    <row r="38" customFormat="false" ht="15" hidden="false" customHeight="false" outlineLevel="0" collapsed="false">
      <c r="A38" s="26" t="str">
        <f aca="false">IF(C38&lt;&gt;"","G-"&amp;TEXT(ROW()-3,"000"),"")</f>
        <v/>
      </c>
      <c r="B38" s="27"/>
      <c r="C38" s="28"/>
      <c r="D38" s="28"/>
      <c r="E38" s="28"/>
      <c r="F38" s="28"/>
      <c r="G38" s="29"/>
      <c r="H38" s="30"/>
      <c r="I38" s="30"/>
      <c r="J38" s="28"/>
      <c r="K38" s="28"/>
    </row>
    <row r="39" customFormat="false" ht="15" hidden="false" customHeight="false" outlineLevel="0" collapsed="false">
      <c r="A39" s="26" t="str">
        <f aca="false">IF(C39&lt;&gt;"","G-"&amp;TEXT(ROW()-3,"000"),"")</f>
        <v/>
      </c>
      <c r="B39" s="31"/>
      <c r="C39" s="32"/>
      <c r="D39" s="32"/>
      <c r="E39" s="32"/>
      <c r="F39" s="32"/>
      <c r="G39" s="17"/>
      <c r="H39" s="33"/>
      <c r="I39" s="33"/>
      <c r="J39" s="32"/>
      <c r="K39" s="32"/>
    </row>
    <row r="40" customFormat="false" ht="15" hidden="false" customHeight="false" outlineLevel="0" collapsed="false">
      <c r="A40" s="26" t="str">
        <f aca="false">IF(C40&lt;&gt;"","G-"&amp;TEXT(ROW()-3,"000"),"")</f>
        <v/>
      </c>
      <c r="B40" s="27"/>
      <c r="C40" s="28"/>
      <c r="D40" s="28"/>
      <c r="E40" s="28"/>
      <c r="F40" s="28"/>
      <c r="G40" s="29"/>
      <c r="H40" s="30"/>
      <c r="I40" s="30"/>
      <c r="J40" s="28"/>
      <c r="K40" s="28"/>
    </row>
    <row r="41" customFormat="false" ht="15" hidden="false" customHeight="false" outlineLevel="0" collapsed="false">
      <c r="A41" s="26" t="str">
        <f aca="false">IF(C41&lt;&gt;"","G-"&amp;TEXT(ROW()-3,"000"),"")</f>
        <v/>
      </c>
      <c r="B41" s="31"/>
      <c r="C41" s="32"/>
      <c r="D41" s="32"/>
      <c r="E41" s="32"/>
      <c r="F41" s="32"/>
      <c r="G41" s="17"/>
      <c r="H41" s="33"/>
      <c r="I41" s="33"/>
      <c r="J41" s="32"/>
      <c r="K41" s="32"/>
    </row>
    <row r="42" customFormat="false" ht="15" hidden="false" customHeight="false" outlineLevel="0" collapsed="false">
      <c r="A42" s="26" t="str">
        <f aca="false">IF(C42&lt;&gt;"","G-"&amp;TEXT(ROW()-3,"000"),"")</f>
        <v/>
      </c>
      <c r="B42" s="27"/>
      <c r="C42" s="28"/>
      <c r="D42" s="28"/>
      <c r="E42" s="28"/>
      <c r="F42" s="28"/>
      <c r="G42" s="29"/>
      <c r="H42" s="30"/>
      <c r="I42" s="30"/>
      <c r="J42" s="28"/>
      <c r="K42" s="28"/>
    </row>
    <row r="43" customFormat="false" ht="15" hidden="false" customHeight="false" outlineLevel="0" collapsed="false">
      <c r="A43" s="26" t="str">
        <f aca="false">IF(C43&lt;&gt;"","G-"&amp;TEXT(ROW()-3,"000"),"")</f>
        <v/>
      </c>
      <c r="B43" s="31"/>
      <c r="C43" s="32"/>
      <c r="D43" s="32"/>
      <c r="E43" s="32"/>
      <c r="F43" s="32"/>
      <c r="G43" s="17"/>
      <c r="H43" s="33"/>
      <c r="I43" s="33"/>
      <c r="J43" s="32"/>
      <c r="K43" s="32"/>
    </row>
    <row r="44" customFormat="false" ht="15" hidden="false" customHeight="false" outlineLevel="0" collapsed="false">
      <c r="A44" s="26" t="str">
        <f aca="false">IF(C44&lt;&gt;"","G-"&amp;TEXT(ROW()-3,"000"),"")</f>
        <v/>
      </c>
      <c r="B44" s="27"/>
      <c r="C44" s="28"/>
      <c r="D44" s="28"/>
      <c r="E44" s="28"/>
      <c r="F44" s="28"/>
      <c r="G44" s="29"/>
      <c r="H44" s="30"/>
      <c r="I44" s="30"/>
      <c r="J44" s="28"/>
      <c r="K44" s="28"/>
    </row>
    <row r="45" customFormat="false" ht="15" hidden="false" customHeight="false" outlineLevel="0" collapsed="false">
      <c r="A45" s="26" t="str">
        <f aca="false">IF(C45&lt;&gt;"","G-"&amp;TEXT(ROW()-3,"000"),"")</f>
        <v/>
      </c>
      <c r="B45" s="31"/>
      <c r="C45" s="32"/>
      <c r="D45" s="32"/>
      <c r="E45" s="32"/>
      <c r="F45" s="32"/>
      <c r="G45" s="17"/>
      <c r="H45" s="33"/>
      <c r="I45" s="33"/>
      <c r="J45" s="32"/>
      <c r="K45" s="32"/>
    </row>
    <row r="46" customFormat="false" ht="15" hidden="false" customHeight="false" outlineLevel="0" collapsed="false">
      <c r="A46" s="26" t="str">
        <f aca="false">IF(C46&lt;&gt;"","G-"&amp;TEXT(ROW()-3,"000"),"")</f>
        <v/>
      </c>
      <c r="B46" s="27"/>
      <c r="C46" s="28"/>
      <c r="D46" s="28"/>
      <c r="E46" s="28"/>
      <c r="F46" s="28"/>
      <c r="G46" s="29"/>
      <c r="H46" s="30"/>
      <c r="I46" s="30"/>
      <c r="J46" s="28"/>
      <c r="K46" s="28"/>
    </row>
    <row r="47" customFormat="false" ht="15" hidden="false" customHeight="false" outlineLevel="0" collapsed="false">
      <c r="A47" s="26" t="str">
        <f aca="false">IF(C47&lt;&gt;"","G-"&amp;TEXT(ROW()-3,"000"),"")</f>
        <v/>
      </c>
      <c r="B47" s="31"/>
      <c r="C47" s="32"/>
      <c r="D47" s="32"/>
      <c r="E47" s="32"/>
      <c r="F47" s="32"/>
      <c r="G47" s="17"/>
      <c r="H47" s="33"/>
      <c r="I47" s="33"/>
      <c r="J47" s="32"/>
      <c r="K47" s="32"/>
    </row>
    <row r="48" customFormat="false" ht="15" hidden="false" customHeight="false" outlineLevel="0" collapsed="false">
      <c r="A48" s="26" t="str">
        <f aca="false">IF(C48&lt;&gt;"","G-"&amp;TEXT(ROW()-3,"000"),"")</f>
        <v/>
      </c>
      <c r="B48" s="27"/>
      <c r="C48" s="28"/>
      <c r="D48" s="28"/>
      <c r="E48" s="28"/>
      <c r="F48" s="28"/>
      <c r="G48" s="29"/>
      <c r="H48" s="30"/>
      <c r="I48" s="30"/>
      <c r="J48" s="28"/>
      <c r="K48" s="28"/>
    </row>
    <row r="49" customFormat="false" ht="15" hidden="false" customHeight="false" outlineLevel="0" collapsed="false">
      <c r="A49" s="26" t="str">
        <f aca="false">IF(C49&lt;&gt;"","G-"&amp;TEXT(ROW()-3,"000"),"")</f>
        <v/>
      </c>
      <c r="B49" s="31"/>
      <c r="C49" s="32"/>
      <c r="D49" s="32"/>
      <c r="E49" s="32"/>
      <c r="F49" s="32"/>
      <c r="G49" s="17"/>
      <c r="H49" s="33"/>
      <c r="I49" s="33"/>
      <c r="J49" s="32"/>
      <c r="K49" s="32"/>
    </row>
    <row r="50" customFormat="false" ht="15" hidden="false" customHeight="false" outlineLevel="0" collapsed="false">
      <c r="A50" s="26" t="str">
        <f aca="false">IF(C50&lt;&gt;"","G-"&amp;TEXT(ROW()-3,"000"),"")</f>
        <v/>
      </c>
      <c r="B50" s="27"/>
      <c r="C50" s="28"/>
      <c r="D50" s="28"/>
      <c r="E50" s="28"/>
      <c r="F50" s="28"/>
      <c r="G50" s="29"/>
      <c r="H50" s="30"/>
      <c r="I50" s="30"/>
      <c r="J50" s="28"/>
      <c r="K50" s="28"/>
    </row>
    <row r="51" customFormat="false" ht="15" hidden="false" customHeight="false" outlineLevel="0" collapsed="false">
      <c r="A51" s="26" t="str">
        <f aca="false">IF(C51&lt;&gt;"","G-"&amp;TEXT(ROW()-3,"000"),"")</f>
        <v/>
      </c>
      <c r="B51" s="31"/>
      <c r="C51" s="32"/>
      <c r="D51" s="32"/>
      <c r="E51" s="32"/>
      <c r="F51" s="32"/>
      <c r="G51" s="17"/>
      <c r="H51" s="33"/>
      <c r="I51" s="33"/>
      <c r="J51" s="32"/>
      <c r="K51" s="32"/>
    </row>
    <row r="52" customFormat="false" ht="15" hidden="false" customHeight="false" outlineLevel="0" collapsed="false">
      <c r="A52" s="26" t="str">
        <f aca="false">IF(C52&lt;&gt;"","G-"&amp;TEXT(ROW()-3,"000"),"")</f>
        <v/>
      </c>
      <c r="B52" s="27"/>
      <c r="C52" s="28"/>
      <c r="D52" s="28"/>
      <c r="E52" s="28"/>
      <c r="F52" s="28"/>
      <c r="G52" s="29"/>
      <c r="H52" s="30"/>
      <c r="I52" s="30"/>
      <c r="J52" s="28"/>
      <c r="K52" s="28"/>
    </row>
    <row r="53" customFormat="false" ht="15" hidden="false" customHeight="false" outlineLevel="0" collapsed="false">
      <c r="A53" s="26" t="str">
        <f aca="false">IF(C53&lt;&gt;"","G-"&amp;TEXT(ROW()-3,"000"),"")</f>
        <v/>
      </c>
      <c r="B53" s="31"/>
      <c r="C53" s="32"/>
      <c r="D53" s="32"/>
      <c r="E53" s="32"/>
      <c r="F53" s="32"/>
      <c r="G53" s="17"/>
      <c r="H53" s="33"/>
      <c r="I53" s="33"/>
      <c r="J53" s="32"/>
      <c r="K53" s="32"/>
    </row>
    <row r="54" customFormat="false" ht="15" hidden="false" customHeight="false" outlineLevel="0" collapsed="false">
      <c r="A54" s="26" t="str">
        <f aca="false">IF(C54&lt;&gt;"","G-"&amp;TEXT(ROW()-3,"000"),"")</f>
        <v/>
      </c>
      <c r="B54" s="27"/>
      <c r="C54" s="28"/>
      <c r="D54" s="28"/>
      <c r="E54" s="28"/>
      <c r="F54" s="28"/>
      <c r="G54" s="29"/>
      <c r="H54" s="30"/>
      <c r="I54" s="30"/>
      <c r="J54" s="28"/>
      <c r="K54" s="28"/>
    </row>
    <row r="55" customFormat="false" ht="15" hidden="false" customHeight="false" outlineLevel="0" collapsed="false">
      <c r="A55" s="26" t="str">
        <f aca="false">IF(C55&lt;&gt;"","G-"&amp;TEXT(ROW()-3,"000"),"")</f>
        <v/>
      </c>
      <c r="B55" s="31"/>
      <c r="C55" s="32"/>
      <c r="D55" s="32"/>
      <c r="E55" s="32"/>
      <c r="F55" s="32"/>
      <c r="G55" s="17"/>
      <c r="H55" s="33"/>
      <c r="I55" s="33"/>
      <c r="J55" s="32"/>
      <c r="K55" s="32"/>
    </row>
    <row r="56" customFormat="false" ht="15" hidden="false" customHeight="false" outlineLevel="0" collapsed="false">
      <c r="A56" s="26" t="str">
        <f aca="false">IF(C56&lt;&gt;"","G-"&amp;TEXT(ROW()-3,"000"),"")</f>
        <v/>
      </c>
      <c r="B56" s="27"/>
      <c r="C56" s="28"/>
      <c r="D56" s="28"/>
      <c r="E56" s="28"/>
      <c r="F56" s="28"/>
      <c r="G56" s="29"/>
      <c r="H56" s="30"/>
      <c r="I56" s="30"/>
      <c r="J56" s="28"/>
      <c r="K56" s="28"/>
    </row>
    <row r="57" customFormat="false" ht="15" hidden="false" customHeight="false" outlineLevel="0" collapsed="false">
      <c r="A57" s="26" t="str">
        <f aca="false">IF(C57&lt;&gt;"","G-"&amp;TEXT(ROW()-3,"000"),"")</f>
        <v/>
      </c>
      <c r="B57" s="31"/>
      <c r="C57" s="32"/>
      <c r="D57" s="32"/>
      <c r="E57" s="32"/>
      <c r="F57" s="32"/>
      <c r="G57" s="17"/>
      <c r="H57" s="33"/>
      <c r="I57" s="33"/>
      <c r="J57" s="32"/>
      <c r="K57" s="32"/>
    </row>
    <row r="58" customFormat="false" ht="15" hidden="false" customHeight="false" outlineLevel="0" collapsed="false">
      <c r="A58" s="26" t="str">
        <f aca="false">IF(C58&lt;&gt;"","G-"&amp;TEXT(ROW()-3,"000"),"")</f>
        <v/>
      </c>
      <c r="B58" s="27"/>
      <c r="C58" s="28"/>
      <c r="D58" s="28"/>
      <c r="E58" s="28"/>
      <c r="F58" s="28"/>
      <c r="G58" s="29"/>
      <c r="H58" s="30"/>
      <c r="I58" s="30"/>
      <c r="J58" s="28"/>
      <c r="K58" s="28"/>
    </row>
    <row r="59" customFormat="false" ht="15" hidden="false" customHeight="false" outlineLevel="0" collapsed="false">
      <c r="A59" s="26" t="str">
        <f aca="false">IF(C59&lt;&gt;"","G-"&amp;TEXT(ROW()-3,"000"),"")</f>
        <v/>
      </c>
      <c r="B59" s="31"/>
      <c r="C59" s="32"/>
      <c r="D59" s="32"/>
      <c r="E59" s="32"/>
      <c r="F59" s="32"/>
      <c r="G59" s="17"/>
      <c r="H59" s="33"/>
      <c r="I59" s="33"/>
      <c r="J59" s="32"/>
      <c r="K59" s="32"/>
    </row>
    <row r="60" customFormat="false" ht="15" hidden="false" customHeight="false" outlineLevel="0" collapsed="false">
      <c r="A60" s="26" t="str">
        <f aca="false">IF(C60&lt;&gt;"","G-"&amp;TEXT(ROW()-3,"000"),"")</f>
        <v/>
      </c>
      <c r="B60" s="27"/>
      <c r="C60" s="28"/>
      <c r="D60" s="28"/>
      <c r="E60" s="28"/>
      <c r="F60" s="28"/>
      <c r="G60" s="29"/>
      <c r="H60" s="30"/>
      <c r="I60" s="30"/>
      <c r="J60" s="28"/>
      <c r="K60" s="28"/>
    </row>
    <row r="61" customFormat="false" ht="15" hidden="false" customHeight="false" outlineLevel="0" collapsed="false">
      <c r="A61" s="26" t="str">
        <f aca="false">IF(C61&lt;&gt;"","G-"&amp;TEXT(ROW()-3,"000"),"")</f>
        <v/>
      </c>
      <c r="B61" s="31"/>
      <c r="C61" s="32"/>
      <c r="D61" s="32"/>
      <c r="E61" s="32"/>
      <c r="F61" s="32"/>
      <c r="G61" s="17"/>
      <c r="H61" s="33"/>
      <c r="I61" s="33"/>
      <c r="J61" s="32"/>
      <c r="K61" s="32"/>
    </row>
    <row r="62" customFormat="false" ht="15" hidden="false" customHeight="false" outlineLevel="0" collapsed="false">
      <c r="A62" s="26" t="str">
        <f aca="false">IF(C62&lt;&gt;"","G-"&amp;TEXT(ROW()-3,"000"),"")</f>
        <v/>
      </c>
      <c r="B62" s="27"/>
      <c r="C62" s="28"/>
      <c r="D62" s="28"/>
      <c r="E62" s="28"/>
      <c r="F62" s="28"/>
      <c r="G62" s="29"/>
      <c r="H62" s="30"/>
      <c r="I62" s="30"/>
      <c r="J62" s="28"/>
      <c r="K62" s="28"/>
    </row>
    <row r="63" customFormat="false" ht="15" hidden="false" customHeight="false" outlineLevel="0" collapsed="false">
      <c r="A63" s="26" t="str">
        <f aca="false">IF(C63&lt;&gt;"","G-"&amp;TEXT(ROW()-3,"000"),"")</f>
        <v/>
      </c>
      <c r="B63" s="31"/>
      <c r="C63" s="32"/>
      <c r="D63" s="32"/>
      <c r="E63" s="32"/>
      <c r="F63" s="32"/>
      <c r="G63" s="17"/>
      <c r="H63" s="33"/>
      <c r="I63" s="33"/>
      <c r="J63" s="32"/>
      <c r="K63" s="32"/>
    </row>
    <row r="64" customFormat="false" ht="15" hidden="false" customHeight="false" outlineLevel="0" collapsed="false">
      <c r="A64" s="26" t="str">
        <f aca="false">IF(C64&lt;&gt;"","G-"&amp;TEXT(ROW()-3,"000"),"")</f>
        <v/>
      </c>
      <c r="B64" s="27"/>
      <c r="C64" s="28"/>
      <c r="D64" s="28"/>
      <c r="E64" s="28"/>
      <c r="F64" s="28"/>
      <c r="G64" s="29"/>
      <c r="H64" s="30"/>
      <c r="I64" s="30"/>
      <c r="J64" s="28"/>
      <c r="K64" s="28"/>
    </row>
    <row r="65" customFormat="false" ht="15" hidden="false" customHeight="false" outlineLevel="0" collapsed="false">
      <c r="A65" s="26" t="str">
        <f aca="false">IF(C65&lt;&gt;"","G-"&amp;TEXT(ROW()-3,"000"),"")</f>
        <v/>
      </c>
      <c r="B65" s="31"/>
      <c r="C65" s="32"/>
      <c r="D65" s="32"/>
      <c r="E65" s="32"/>
      <c r="F65" s="32"/>
      <c r="G65" s="17"/>
      <c r="H65" s="33"/>
      <c r="I65" s="33"/>
      <c r="J65" s="32"/>
      <c r="K65" s="32"/>
    </row>
    <row r="66" customFormat="false" ht="15" hidden="false" customHeight="false" outlineLevel="0" collapsed="false">
      <c r="A66" s="26" t="str">
        <f aca="false">IF(C66&lt;&gt;"","G-"&amp;TEXT(ROW()-3,"000"),"")</f>
        <v/>
      </c>
      <c r="B66" s="27"/>
      <c r="C66" s="28"/>
      <c r="D66" s="28"/>
      <c r="E66" s="28"/>
      <c r="F66" s="28"/>
      <c r="G66" s="29"/>
      <c r="H66" s="30"/>
      <c r="I66" s="30"/>
      <c r="J66" s="28"/>
      <c r="K66" s="28"/>
    </row>
    <row r="67" customFormat="false" ht="15" hidden="false" customHeight="false" outlineLevel="0" collapsed="false">
      <c r="A67" s="26" t="str">
        <f aca="false">IF(C67&lt;&gt;"","G-"&amp;TEXT(ROW()-3,"000"),"")</f>
        <v/>
      </c>
      <c r="B67" s="31"/>
      <c r="C67" s="32"/>
      <c r="D67" s="32"/>
      <c r="E67" s="32"/>
      <c r="F67" s="32"/>
      <c r="G67" s="17"/>
      <c r="H67" s="33"/>
      <c r="I67" s="33"/>
      <c r="J67" s="32"/>
      <c r="K67" s="32"/>
    </row>
    <row r="68" customFormat="false" ht="15" hidden="false" customHeight="false" outlineLevel="0" collapsed="false">
      <c r="A68" s="26" t="str">
        <f aca="false">IF(C68&lt;&gt;"","G-"&amp;TEXT(ROW()-3,"000"),"")</f>
        <v/>
      </c>
      <c r="B68" s="27"/>
      <c r="C68" s="28"/>
      <c r="D68" s="28"/>
      <c r="E68" s="28"/>
      <c r="F68" s="28"/>
      <c r="G68" s="29"/>
      <c r="H68" s="30"/>
      <c r="I68" s="30"/>
      <c r="J68" s="28"/>
      <c r="K68" s="28"/>
    </row>
    <row r="69" customFormat="false" ht="15" hidden="false" customHeight="false" outlineLevel="0" collapsed="false">
      <c r="A69" s="26" t="str">
        <f aca="false">IF(C69&lt;&gt;"","G-"&amp;TEXT(ROW()-3,"000"),"")</f>
        <v/>
      </c>
      <c r="B69" s="31"/>
      <c r="C69" s="32"/>
      <c r="D69" s="32"/>
      <c r="E69" s="32"/>
      <c r="F69" s="32"/>
      <c r="G69" s="17"/>
      <c r="H69" s="33"/>
      <c r="I69" s="33"/>
      <c r="J69" s="32"/>
      <c r="K69" s="32"/>
    </row>
    <row r="70" customFormat="false" ht="15" hidden="false" customHeight="false" outlineLevel="0" collapsed="false">
      <c r="A70" s="26" t="str">
        <f aca="false">IF(C70&lt;&gt;"","G-"&amp;TEXT(ROW()-3,"000"),"")</f>
        <v/>
      </c>
      <c r="B70" s="27"/>
      <c r="C70" s="28"/>
      <c r="D70" s="28"/>
      <c r="E70" s="28"/>
      <c r="F70" s="28"/>
      <c r="G70" s="29"/>
      <c r="H70" s="30"/>
      <c r="I70" s="30"/>
      <c r="J70" s="28"/>
      <c r="K70" s="28"/>
    </row>
    <row r="71" customFormat="false" ht="15" hidden="false" customHeight="false" outlineLevel="0" collapsed="false">
      <c r="A71" s="26" t="str">
        <f aca="false">IF(C71&lt;&gt;"","G-"&amp;TEXT(ROW()-3,"000"),"")</f>
        <v/>
      </c>
      <c r="B71" s="31"/>
      <c r="C71" s="32"/>
      <c r="D71" s="32"/>
      <c r="E71" s="32"/>
      <c r="F71" s="32"/>
      <c r="G71" s="17"/>
      <c r="H71" s="33"/>
      <c r="I71" s="33"/>
      <c r="J71" s="32"/>
      <c r="K71" s="32"/>
    </row>
    <row r="72" customFormat="false" ht="15" hidden="false" customHeight="false" outlineLevel="0" collapsed="false">
      <c r="A72" s="26" t="str">
        <f aca="false">IF(C72&lt;&gt;"","G-"&amp;TEXT(ROW()-3,"000"),"")</f>
        <v/>
      </c>
      <c r="B72" s="27"/>
      <c r="C72" s="28"/>
      <c r="D72" s="28"/>
      <c r="E72" s="28"/>
      <c r="F72" s="28"/>
      <c r="G72" s="29"/>
      <c r="H72" s="30"/>
      <c r="I72" s="30"/>
      <c r="J72" s="28"/>
      <c r="K72" s="28"/>
    </row>
    <row r="73" customFormat="false" ht="15" hidden="false" customHeight="false" outlineLevel="0" collapsed="false">
      <c r="A73" s="26" t="str">
        <f aca="false">IF(C73&lt;&gt;"","G-"&amp;TEXT(ROW()-3,"000"),"")</f>
        <v/>
      </c>
      <c r="B73" s="31"/>
      <c r="C73" s="32"/>
      <c r="D73" s="32"/>
      <c r="E73" s="32"/>
      <c r="F73" s="32"/>
      <c r="G73" s="17"/>
      <c r="H73" s="33"/>
      <c r="I73" s="33"/>
      <c r="J73" s="32"/>
      <c r="K73" s="32"/>
    </row>
    <row r="74" customFormat="false" ht="15" hidden="false" customHeight="false" outlineLevel="0" collapsed="false">
      <c r="A74" s="26" t="str">
        <f aca="false">IF(C74&lt;&gt;"","G-"&amp;TEXT(ROW()-3,"000"),"")</f>
        <v/>
      </c>
      <c r="B74" s="27"/>
      <c r="C74" s="28"/>
      <c r="D74" s="28"/>
      <c r="E74" s="28"/>
      <c r="F74" s="28"/>
      <c r="G74" s="29"/>
      <c r="H74" s="30"/>
      <c r="I74" s="30"/>
      <c r="J74" s="28"/>
      <c r="K74" s="28"/>
    </row>
    <row r="75" customFormat="false" ht="15" hidden="false" customHeight="false" outlineLevel="0" collapsed="false">
      <c r="A75" s="26" t="str">
        <f aca="false">IF(C75&lt;&gt;"","G-"&amp;TEXT(ROW()-3,"000"),"")</f>
        <v/>
      </c>
      <c r="B75" s="31"/>
      <c r="C75" s="32"/>
      <c r="D75" s="32"/>
      <c r="E75" s="32"/>
      <c r="F75" s="32"/>
      <c r="G75" s="17"/>
      <c r="H75" s="33"/>
      <c r="I75" s="33"/>
      <c r="J75" s="32"/>
      <c r="K75" s="32"/>
    </row>
    <row r="76" customFormat="false" ht="15" hidden="false" customHeight="false" outlineLevel="0" collapsed="false">
      <c r="A76" s="26" t="str">
        <f aca="false">IF(C76&lt;&gt;"","G-"&amp;TEXT(ROW()-3,"000"),"")</f>
        <v/>
      </c>
      <c r="B76" s="27"/>
      <c r="C76" s="28"/>
      <c r="D76" s="28"/>
      <c r="E76" s="28"/>
      <c r="F76" s="28"/>
      <c r="G76" s="29"/>
      <c r="H76" s="30"/>
      <c r="I76" s="30"/>
      <c r="J76" s="28"/>
      <c r="K76" s="28"/>
    </row>
    <row r="77" customFormat="false" ht="15" hidden="false" customHeight="false" outlineLevel="0" collapsed="false">
      <c r="A77" s="26" t="str">
        <f aca="false">IF(C77&lt;&gt;"","G-"&amp;TEXT(ROW()-3,"000"),"")</f>
        <v/>
      </c>
      <c r="B77" s="31"/>
      <c r="C77" s="32"/>
      <c r="D77" s="32"/>
      <c r="E77" s="32"/>
      <c r="F77" s="32"/>
      <c r="G77" s="17"/>
      <c r="H77" s="33"/>
      <c r="I77" s="33"/>
      <c r="J77" s="32"/>
      <c r="K77" s="32"/>
    </row>
    <row r="78" customFormat="false" ht="15" hidden="false" customHeight="false" outlineLevel="0" collapsed="false">
      <c r="A78" s="26" t="str">
        <f aca="false">IF(C78&lt;&gt;"","G-"&amp;TEXT(ROW()-3,"000"),"")</f>
        <v/>
      </c>
      <c r="B78" s="27"/>
      <c r="C78" s="28"/>
      <c r="D78" s="28"/>
      <c r="E78" s="28"/>
      <c r="F78" s="28"/>
      <c r="G78" s="29"/>
      <c r="H78" s="30"/>
      <c r="I78" s="30"/>
      <c r="J78" s="28"/>
      <c r="K78" s="28"/>
    </row>
    <row r="79" customFormat="false" ht="15" hidden="false" customHeight="false" outlineLevel="0" collapsed="false">
      <c r="A79" s="26" t="str">
        <f aca="false">IF(C79&lt;&gt;"","G-"&amp;TEXT(ROW()-3,"000"),"")</f>
        <v/>
      </c>
      <c r="B79" s="31"/>
      <c r="C79" s="32"/>
      <c r="D79" s="32"/>
      <c r="E79" s="32"/>
      <c r="F79" s="32"/>
      <c r="G79" s="17"/>
      <c r="H79" s="33"/>
      <c r="I79" s="33"/>
      <c r="J79" s="32"/>
      <c r="K79" s="32"/>
    </row>
    <row r="80" customFormat="false" ht="15" hidden="false" customHeight="false" outlineLevel="0" collapsed="false">
      <c r="A80" s="26" t="str">
        <f aca="false">IF(C80&lt;&gt;"","G-"&amp;TEXT(ROW()-3,"000"),"")</f>
        <v/>
      </c>
      <c r="B80" s="27"/>
      <c r="C80" s="28"/>
      <c r="D80" s="28"/>
      <c r="E80" s="28"/>
      <c r="F80" s="28"/>
      <c r="G80" s="29"/>
      <c r="H80" s="30"/>
      <c r="I80" s="30"/>
      <c r="J80" s="28"/>
      <c r="K80" s="28"/>
    </row>
    <row r="81" customFormat="false" ht="15" hidden="false" customHeight="false" outlineLevel="0" collapsed="false">
      <c r="A81" s="26" t="str">
        <f aca="false">IF(C81&lt;&gt;"","G-"&amp;TEXT(ROW()-3,"000"),"")</f>
        <v/>
      </c>
      <c r="B81" s="31"/>
      <c r="C81" s="32"/>
      <c r="D81" s="32"/>
      <c r="E81" s="32"/>
      <c r="F81" s="32"/>
      <c r="G81" s="17"/>
      <c r="H81" s="33"/>
      <c r="I81" s="33"/>
      <c r="J81" s="32"/>
      <c r="K81" s="32"/>
    </row>
    <row r="82" customFormat="false" ht="15" hidden="false" customHeight="false" outlineLevel="0" collapsed="false">
      <c r="A82" s="26" t="str">
        <f aca="false">IF(C82&lt;&gt;"","G-"&amp;TEXT(ROW()-3,"000"),"")</f>
        <v/>
      </c>
      <c r="B82" s="27"/>
      <c r="C82" s="28"/>
      <c r="D82" s="28"/>
      <c r="E82" s="28"/>
      <c r="F82" s="28"/>
      <c r="G82" s="29"/>
      <c r="H82" s="30"/>
      <c r="I82" s="30"/>
      <c r="J82" s="28"/>
      <c r="K82" s="28"/>
    </row>
    <row r="83" customFormat="false" ht="15" hidden="false" customHeight="false" outlineLevel="0" collapsed="false">
      <c r="A83" s="26" t="str">
        <f aca="false">IF(C83&lt;&gt;"","G-"&amp;TEXT(ROW()-3,"000"),"")</f>
        <v/>
      </c>
      <c r="B83" s="31"/>
      <c r="C83" s="32"/>
      <c r="D83" s="32"/>
      <c r="E83" s="32"/>
      <c r="F83" s="32"/>
      <c r="G83" s="17"/>
      <c r="H83" s="33"/>
      <c r="I83" s="33"/>
      <c r="J83" s="32"/>
      <c r="K83" s="32"/>
    </row>
    <row r="84" customFormat="false" ht="15" hidden="false" customHeight="false" outlineLevel="0" collapsed="false">
      <c r="A84" s="26" t="str">
        <f aca="false">IF(C84&lt;&gt;"","G-"&amp;TEXT(ROW()-3,"000"),"")</f>
        <v/>
      </c>
      <c r="B84" s="27"/>
      <c r="C84" s="28"/>
      <c r="D84" s="28"/>
      <c r="E84" s="28"/>
      <c r="F84" s="28"/>
      <c r="G84" s="29"/>
      <c r="H84" s="30"/>
      <c r="I84" s="30"/>
      <c r="J84" s="28"/>
      <c r="K84" s="28"/>
    </row>
    <row r="85" customFormat="false" ht="15" hidden="false" customHeight="false" outlineLevel="0" collapsed="false">
      <c r="A85" s="26" t="str">
        <f aca="false">IF(C85&lt;&gt;"","G-"&amp;TEXT(ROW()-3,"000"),"")</f>
        <v/>
      </c>
      <c r="B85" s="31"/>
      <c r="C85" s="32"/>
      <c r="D85" s="32"/>
      <c r="E85" s="32"/>
      <c r="F85" s="32"/>
      <c r="G85" s="17"/>
      <c r="H85" s="33"/>
      <c r="I85" s="33"/>
      <c r="J85" s="32"/>
      <c r="K85" s="32"/>
    </row>
    <row r="86" customFormat="false" ht="15" hidden="false" customHeight="false" outlineLevel="0" collapsed="false">
      <c r="A86" s="26" t="str">
        <f aca="false">IF(C86&lt;&gt;"","G-"&amp;TEXT(ROW()-3,"000"),"")</f>
        <v/>
      </c>
      <c r="B86" s="27"/>
      <c r="C86" s="28"/>
      <c r="D86" s="28"/>
      <c r="E86" s="28"/>
      <c r="F86" s="28"/>
      <c r="G86" s="29"/>
      <c r="H86" s="30"/>
      <c r="I86" s="30"/>
      <c r="J86" s="28"/>
      <c r="K86" s="28"/>
    </row>
    <row r="87" customFormat="false" ht="15" hidden="false" customHeight="false" outlineLevel="0" collapsed="false">
      <c r="A87" s="26" t="str">
        <f aca="false">IF(C87&lt;&gt;"","G-"&amp;TEXT(ROW()-3,"000"),"")</f>
        <v/>
      </c>
      <c r="B87" s="31"/>
      <c r="C87" s="32"/>
      <c r="D87" s="32"/>
      <c r="E87" s="32"/>
      <c r="F87" s="32"/>
      <c r="G87" s="17"/>
      <c r="H87" s="33"/>
      <c r="I87" s="33"/>
      <c r="J87" s="32"/>
      <c r="K87" s="32"/>
    </row>
    <row r="88" customFormat="false" ht="15" hidden="false" customHeight="false" outlineLevel="0" collapsed="false">
      <c r="A88" s="26" t="str">
        <f aca="false">IF(C88&lt;&gt;"","G-"&amp;TEXT(ROW()-3,"000"),"")</f>
        <v/>
      </c>
      <c r="B88" s="27"/>
      <c r="C88" s="28"/>
      <c r="D88" s="28"/>
      <c r="E88" s="28"/>
      <c r="F88" s="28"/>
      <c r="G88" s="29"/>
      <c r="H88" s="30"/>
      <c r="I88" s="30"/>
      <c r="J88" s="28"/>
      <c r="K88" s="28"/>
    </row>
    <row r="89" customFormat="false" ht="15" hidden="false" customHeight="false" outlineLevel="0" collapsed="false">
      <c r="A89" s="26" t="str">
        <f aca="false">IF(C89&lt;&gt;"","G-"&amp;TEXT(ROW()-3,"000"),"")</f>
        <v/>
      </c>
      <c r="B89" s="31"/>
      <c r="C89" s="32"/>
      <c r="D89" s="32"/>
      <c r="E89" s="32"/>
      <c r="F89" s="32"/>
      <c r="G89" s="17"/>
      <c r="H89" s="33"/>
      <c r="I89" s="33"/>
      <c r="J89" s="32"/>
      <c r="K89" s="32"/>
    </row>
    <row r="90" customFormat="false" ht="15" hidden="false" customHeight="false" outlineLevel="0" collapsed="false">
      <c r="A90" s="26" t="str">
        <f aca="false">IF(C90&lt;&gt;"","G-"&amp;TEXT(ROW()-3,"000"),"")</f>
        <v/>
      </c>
      <c r="B90" s="27"/>
      <c r="C90" s="28"/>
      <c r="D90" s="28"/>
      <c r="E90" s="28"/>
      <c r="F90" s="28"/>
      <c r="G90" s="29"/>
      <c r="H90" s="30"/>
      <c r="I90" s="30"/>
      <c r="J90" s="28"/>
      <c r="K90" s="28"/>
    </row>
    <row r="91" customFormat="false" ht="15" hidden="false" customHeight="false" outlineLevel="0" collapsed="false">
      <c r="A91" s="26" t="str">
        <f aca="false">IF(C91&lt;&gt;"","G-"&amp;TEXT(ROW()-3,"000"),"")</f>
        <v/>
      </c>
      <c r="B91" s="31"/>
      <c r="C91" s="32"/>
      <c r="D91" s="32"/>
      <c r="E91" s="32"/>
      <c r="F91" s="32"/>
      <c r="G91" s="17"/>
      <c r="H91" s="33"/>
      <c r="I91" s="33"/>
      <c r="J91" s="32"/>
      <c r="K91" s="32"/>
    </row>
    <row r="92" customFormat="false" ht="15" hidden="false" customHeight="false" outlineLevel="0" collapsed="false">
      <c r="A92" s="26" t="str">
        <f aca="false">IF(C92&lt;&gt;"","G-"&amp;TEXT(ROW()-3,"000"),"")</f>
        <v/>
      </c>
      <c r="B92" s="27"/>
      <c r="C92" s="28"/>
      <c r="D92" s="28"/>
      <c r="E92" s="28"/>
      <c r="F92" s="28"/>
      <c r="G92" s="29"/>
      <c r="H92" s="30"/>
      <c r="I92" s="30"/>
      <c r="J92" s="28"/>
      <c r="K92" s="28"/>
    </row>
    <row r="93" customFormat="false" ht="15" hidden="false" customHeight="false" outlineLevel="0" collapsed="false">
      <c r="A93" s="26" t="str">
        <f aca="false">IF(C93&lt;&gt;"","G-"&amp;TEXT(ROW()-3,"000"),"")</f>
        <v/>
      </c>
      <c r="B93" s="31"/>
      <c r="C93" s="32"/>
      <c r="D93" s="32"/>
      <c r="E93" s="32"/>
      <c r="F93" s="32"/>
      <c r="G93" s="17"/>
      <c r="H93" s="33"/>
      <c r="I93" s="33"/>
      <c r="J93" s="32"/>
      <c r="K93" s="32"/>
    </row>
    <row r="94" customFormat="false" ht="15" hidden="false" customHeight="false" outlineLevel="0" collapsed="false">
      <c r="A94" s="26" t="str">
        <f aca="false">IF(C94&lt;&gt;"","G-"&amp;TEXT(ROW()-3,"000"),"")</f>
        <v/>
      </c>
      <c r="B94" s="27"/>
      <c r="C94" s="28"/>
      <c r="D94" s="28"/>
      <c r="E94" s="28"/>
      <c r="F94" s="28"/>
      <c r="G94" s="29"/>
      <c r="H94" s="30"/>
      <c r="I94" s="30"/>
      <c r="J94" s="28"/>
      <c r="K94" s="28"/>
    </row>
    <row r="95" customFormat="false" ht="15" hidden="false" customHeight="false" outlineLevel="0" collapsed="false">
      <c r="A95" s="26" t="str">
        <f aca="false">IF(C95&lt;&gt;"","G-"&amp;TEXT(ROW()-3,"000"),"")</f>
        <v/>
      </c>
      <c r="B95" s="31"/>
      <c r="C95" s="32"/>
      <c r="D95" s="32"/>
      <c r="E95" s="32"/>
      <c r="F95" s="32"/>
      <c r="G95" s="17"/>
      <c r="H95" s="33"/>
      <c r="I95" s="33"/>
      <c r="J95" s="32"/>
      <c r="K95" s="32"/>
    </row>
    <row r="96" customFormat="false" ht="15" hidden="false" customHeight="false" outlineLevel="0" collapsed="false">
      <c r="A96" s="26" t="str">
        <f aca="false">IF(C96&lt;&gt;"","G-"&amp;TEXT(ROW()-3,"000"),"")</f>
        <v/>
      </c>
      <c r="B96" s="27"/>
      <c r="C96" s="28"/>
      <c r="D96" s="28"/>
      <c r="E96" s="28"/>
      <c r="F96" s="28"/>
      <c r="G96" s="29"/>
      <c r="H96" s="30"/>
      <c r="I96" s="30"/>
      <c r="J96" s="28"/>
      <c r="K96" s="28"/>
    </row>
    <row r="97" customFormat="false" ht="15" hidden="false" customHeight="false" outlineLevel="0" collapsed="false">
      <c r="A97" s="26" t="str">
        <f aca="false">IF(C97&lt;&gt;"","G-"&amp;TEXT(ROW()-3,"000"),"")</f>
        <v/>
      </c>
      <c r="B97" s="31"/>
      <c r="C97" s="32"/>
      <c r="D97" s="32"/>
      <c r="E97" s="32"/>
      <c r="F97" s="32"/>
      <c r="G97" s="17"/>
      <c r="H97" s="33"/>
      <c r="I97" s="33"/>
      <c r="J97" s="32"/>
      <c r="K97" s="32"/>
    </row>
    <row r="98" customFormat="false" ht="15" hidden="false" customHeight="false" outlineLevel="0" collapsed="false">
      <c r="A98" s="26" t="str">
        <f aca="false">IF(C98&lt;&gt;"","G-"&amp;TEXT(ROW()-3,"000"),"")</f>
        <v/>
      </c>
      <c r="B98" s="27"/>
      <c r="C98" s="28"/>
      <c r="D98" s="28"/>
      <c r="E98" s="28"/>
      <c r="F98" s="28"/>
      <c r="G98" s="29"/>
      <c r="H98" s="30"/>
      <c r="I98" s="30"/>
      <c r="J98" s="28"/>
      <c r="K98" s="28"/>
    </row>
    <row r="99" customFormat="false" ht="15" hidden="false" customHeight="false" outlineLevel="0" collapsed="false">
      <c r="A99" s="26" t="str">
        <f aca="false">IF(C99&lt;&gt;"","G-"&amp;TEXT(ROW()-3,"000"),"")</f>
        <v/>
      </c>
      <c r="B99" s="31"/>
      <c r="C99" s="32"/>
      <c r="D99" s="32"/>
      <c r="E99" s="32"/>
      <c r="F99" s="32"/>
      <c r="G99" s="17"/>
      <c r="H99" s="33"/>
      <c r="I99" s="33"/>
      <c r="J99" s="32"/>
      <c r="K99" s="32"/>
    </row>
    <row r="100" customFormat="false" ht="15" hidden="false" customHeight="false" outlineLevel="0" collapsed="false">
      <c r="A100" s="26" t="str">
        <f aca="false">IF(C100&lt;&gt;"","G-"&amp;TEXT(ROW()-3,"000"),"")</f>
        <v/>
      </c>
      <c r="B100" s="27"/>
      <c r="C100" s="28"/>
      <c r="D100" s="28"/>
      <c r="E100" s="28"/>
      <c r="F100" s="28"/>
      <c r="G100" s="29"/>
      <c r="H100" s="30"/>
      <c r="I100" s="30"/>
      <c r="J100" s="28"/>
      <c r="K100" s="28"/>
    </row>
    <row r="101" customFormat="false" ht="15" hidden="false" customHeight="false" outlineLevel="0" collapsed="false">
      <c r="A101" s="26" t="str">
        <f aca="false">IF(C101&lt;&gt;"","G-"&amp;TEXT(ROW()-3,"000"),"")</f>
        <v/>
      </c>
      <c r="B101" s="31"/>
      <c r="C101" s="32"/>
      <c r="D101" s="32"/>
      <c r="E101" s="32"/>
      <c r="F101" s="32"/>
      <c r="G101" s="17"/>
      <c r="H101" s="33"/>
      <c r="I101" s="33"/>
      <c r="J101" s="32"/>
      <c r="K101" s="32"/>
    </row>
    <row r="102" customFormat="false" ht="15" hidden="false" customHeight="false" outlineLevel="0" collapsed="false">
      <c r="A102" s="26" t="str">
        <f aca="false">IF(C102&lt;&gt;"","G-"&amp;TEXT(ROW()-3,"000"),"")</f>
        <v/>
      </c>
      <c r="B102" s="27"/>
      <c r="C102" s="28"/>
      <c r="D102" s="28"/>
      <c r="E102" s="28"/>
      <c r="F102" s="28"/>
      <c r="G102" s="29"/>
      <c r="H102" s="30"/>
      <c r="I102" s="30"/>
      <c r="J102" s="28"/>
      <c r="K102" s="28"/>
    </row>
    <row r="103" customFormat="false" ht="15" hidden="false" customHeight="false" outlineLevel="0" collapsed="false">
      <c r="A103" s="26" t="str">
        <f aca="false">IF(C103&lt;&gt;"","G-"&amp;TEXT(ROW()-3,"000"),"")</f>
        <v/>
      </c>
      <c r="B103" s="31"/>
      <c r="C103" s="32"/>
      <c r="D103" s="32"/>
      <c r="E103" s="32"/>
      <c r="F103" s="32"/>
      <c r="G103" s="17"/>
      <c r="H103" s="33"/>
      <c r="I103" s="33"/>
      <c r="J103" s="32"/>
      <c r="K103" s="32"/>
    </row>
    <row r="104" customFormat="false" ht="15" hidden="false" customHeight="false" outlineLevel="0" collapsed="false">
      <c r="A104" s="26" t="str">
        <f aca="false">IF(C104&lt;&gt;"","G-"&amp;TEXT(ROW()-3,"000"),"")</f>
        <v/>
      </c>
      <c r="B104" s="27"/>
      <c r="C104" s="28"/>
      <c r="D104" s="28"/>
      <c r="E104" s="28"/>
      <c r="F104" s="28"/>
      <c r="G104" s="29"/>
      <c r="H104" s="30"/>
      <c r="I104" s="30"/>
      <c r="J104" s="28"/>
      <c r="K104" s="28"/>
    </row>
    <row r="105" customFormat="false" ht="15" hidden="false" customHeight="false" outlineLevel="0" collapsed="false">
      <c r="A105" s="26" t="str">
        <f aca="false">IF(C105&lt;&gt;"","G-"&amp;TEXT(ROW()-3,"000"),"")</f>
        <v/>
      </c>
      <c r="B105" s="31"/>
      <c r="C105" s="32"/>
      <c r="D105" s="32"/>
      <c r="E105" s="32"/>
      <c r="F105" s="32"/>
      <c r="G105" s="17"/>
      <c r="H105" s="33"/>
      <c r="I105" s="33"/>
      <c r="J105" s="32"/>
      <c r="K105" s="32"/>
    </row>
    <row r="106" customFormat="false" ht="15" hidden="false" customHeight="false" outlineLevel="0" collapsed="false">
      <c r="A106" s="26" t="str">
        <f aca="false">IF(C106&lt;&gt;"","G-"&amp;TEXT(ROW()-3,"000"),"")</f>
        <v/>
      </c>
      <c r="B106" s="27"/>
      <c r="C106" s="28"/>
      <c r="D106" s="28"/>
      <c r="E106" s="28"/>
      <c r="F106" s="28"/>
      <c r="G106" s="29"/>
      <c r="H106" s="30"/>
      <c r="I106" s="30"/>
      <c r="J106" s="28"/>
      <c r="K106" s="28"/>
    </row>
    <row r="107" customFormat="false" ht="15" hidden="false" customHeight="false" outlineLevel="0" collapsed="false">
      <c r="A107" s="26" t="str">
        <f aca="false">IF(C107&lt;&gt;"","G-"&amp;TEXT(ROW()-3,"000"),"")</f>
        <v/>
      </c>
      <c r="B107" s="31"/>
      <c r="C107" s="32"/>
      <c r="D107" s="32"/>
      <c r="E107" s="32"/>
      <c r="F107" s="32"/>
      <c r="G107" s="17"/>
      <c r="H107" s="33"/>
      <c r="I107" s="33"/>
      <c r="J107" s="32"/>
      <c r="K107" s="32"/>
    </row>
    <row r="108" customFormat="false" ht="15" hidden="false" customHeight="false" outlineLevel="0" collapsed="false">
      <c r="A108" s="26" t="str">
        <f aca="false">IF(C108&lt;&gt;"","G-"&amp;TEXT(ROW()-3,"000"),"")</f>
        <v/>
      </c>
      <c r="B108" s="27"/>
      <c r="C108" s="28"/>
      <c r="D108" s="28"/>
      <c r="E108" s="28"/>
      <c r="F108" s="28"/>
      <c r="G108" s="29"/>
      <c r="H108" s="30"/>
      <c r="I108" s="30"/>
      <c r="J108" s="28"/>
      <c r="K108" s="28"/>
    </row>
    <row r="109" customFormat="false" ht="15" hidden="false" customHeight="false" outlineLevel="0" collapsed="false">
      <c r="A109" s="26" t="str">
        <f aca="false">IF(C109&lt;&gt;"","G-"&amp;TEXT(ROW()-3,"000"),"")</f>
        <v/>
      </c>
      <c r="B109" s="31"/>
      <c r="C109" s="32"/>
      <c r="D109" s="32"/>
      <c r="E109" s="32"/>
      <c r="F109" s="32"/>
      <c r="G109" s="17"/>
      <c r="H109" s="33"/>
      <c r="I109" s="33"/>
      <c r="J109" s="32"/>
      <c r="K109" s="32"/>
    </row>
    <row r="110" customFormat="false" ht="15" hidden="false" customHeight="false" outlineLevel="0" collapsed="false">
      <c r="A110" s="26" t="str">
        <f aca="false">IF(C110&lt;&gt;"","G-"&amp;TEXT(ROW()-3,"000"),"")</f>
        <v/>
      </c>
      <c r="B110" s="27"/>
      <c r="C110" s="28"/>
      <c r="D110" s="28"/>
      <c r="E110" s="28"/>
      <c r="F110" s="28"/>
      <c r="G110" s="29"/>
      <c r="H110" s="30"/>
      <c r="I110" s="30"/>
      <c r="J110" s="28"/>
      <c r="K110" s="28"/>
    </row>
    <row r="111" customFormat="false" ht="15" hidden="false" customHeight="false" outlineLevel="0" collapsed="false">
      <c r="A111" s="26" t="str">
        <f aca="false">IF(C111&lt;&gt;"","G-"&amp;TEXT(ROW()-3,"000"),"")</f>
        <v/>
      </c>
      <c r="B111" s="31"/>
      <c r="C111" s="32"/>
      <c r="D111" s="32"/>
      <c r="E111" s="32"/>
      <c r="F111" s="32"/>
      <c r="G111" s="17"/>
      <c r="H111" s="33"/>
      <c r="I111" s="33"/>
      <c r="J111" s="32"/>
      <c r="K111" s="32"/>
    </row>
    <row r="112" customFormat="false" ht="15" hidden="false" customHeight="false" outlineLevel="0" collapsed="false">
      <c r="A112" s="26" t="str">
        <f aca="false">IF(C112&lt;&gt;"","G-"&amp;TEXT(ROW()-3,"000"),"")</f>
        <v/>
      </c>
      <c r="B112" s="27"/>
      <c r="C112" s="28"/>
      <c r="D112" s="28"/>
      <c r="E112" s="28"/>
      <c r="F112" s="28"/>
      <c r="G112" s="29"/>
      <c r="H112" s="30"/>
      <c r="I112" s="30"/>
      <c r="J112" s="28"/>
      <c r="K112" s="28"/>
    </row>
    <row r="113" customFormat="false" ht="15" hidden="false" customHeight="false" outlineLevel="0" collapsed="false">
      <c r="A113" s="26" t="str">
        <f aca="false">IF(C113&lt;&gt;"","G-"&amp;TEXT(ROW()-3,"000"),"")</f>
        <v/>
      </c>
      <c r="B113" s="31"/>
      <c r="C113" s="32"/>
      <c r="D113" s="32"/>
      <c r="E113" s="32"/>
      <c r="F113" s="32"/>
      <c r="G113" s="17"/>
      <c r="H113" s="33"/>
      <c r="I113" s="33"/>
      <c r="J113" s="32"/>
      <c r="K113" s="32"/>
    </row>
    <row r="114" customFormat="false" ht="15" hidden="false" customHeight="false" outlineLevel="0" collapsed="false">
      <c r="A114" s="26" t="str">
        <f aca="false">IF(C114&lt;&gt;"","G-"&amp;TEXT(ROW()-3,"000"),"")</f>
        <v/>
      </c>
      <c r="B114" s="27"/>
      <c r="C114" s="28"/>
      <c r="D114" s="28"/>
      <c r="E114" s="28"/>
      <c r="F114" s="28"/>
      <c r="G114" s="29"/>
      <c r="H114" s="30"/>
      <c r="I114" s="30"/>
      <c r="J114" s="28"/>
      <c r="K114" s="28"/>
    </row>
    <row r="115" customFormat="false" ht="15" hidden="false" customHeight="false" outlineLevel="0" collapsed="false">
      <c r="A115" s="26" t="str">
        <f aca="false">IF(C115&lt;&gt;"","G-"&amp;TEXT(ROW()-3,"000"),"")</f>
        <v/>
      </c>
      <c r="B115" s="31"/>
      <c r="C115" s="32"/>
      <c r="D115" s="32"/>
      <c r="E115" s="32"/>
      <c r="F115" s="32"/>
      <c r="G115" s="17"/>
      <c r="H115" s="33"/>
      <c r="I115" s="33"/>
      <c r="J115" s="32"/>
      <c r="K115" s="32"/>
    </row>
    <row r="116" customFormat="false" ht="15" hidden="false" customHeight="false" outlineLevel="0" collapsed="false">
      <c r="A116" s="26" t="str">
        <f aca="false">IF(C116&lt;&gt;"","G-"&amp;TEXT(ROW()-3,"000"),"")</f>
        <v/>
      </c>
      <c r="B116" s="27"/>
      <c r="C116" s="28"/>
      <c r="D116" s="28"/>
      <c r="E116" s="28"/>
      <c r="F116" s="28"/>
      <c r="G116" s="29"/>
      <c r="H116" s="30"/>
      <c r="I116" s="30"/>
      <c r="J116" s="28"/>
      <c r="K116" s="28"/>
    </row>
    <row r="117" customFormat="false" ht="15" hidden="false" customHeight="false" outlineLevel="0" collapsed="false">
      <c r="A117" s="26" t="str">
        <f aca="false">IF(C117&lt;&gt;"","G-"&amp;TEXT(ROW()-3,"000"),"")</f>
        <v/>
      </c>
      <c r="B117" s="31"/>
      <c r="C117" s="32"/>
      <c r="D117" s="32"/>
      <c r="E117" s="32"/>
      <c r="F117" s="32"/>
      <c r="G117" s="17"/>
      <c r="H117" s="33"/>
      <c r="I117" s="33"/>
      <c r="J117" s="32"/>
      <c r="K117" s="32"/>
    </row>
    <row r="118" customFormat="false" ht="15" hidden="false" customHeight="false" outlineLevel="0" collapsed="false">
      <c r="A118" s="26" t="str">
        <f aca="false">IF(C118&lt;&gt;"","G-"&amp;TEXT(ROW()-3,"000"),"")</f>
        <v/>
      </c>
      <c r="B118" s="27"/>
      <c r="C118" s="28"/>
      <c r="D118" s="28"/>
      <c r="E118" s="28"/>
      <c r="F118" s="28"/>
      <c r="G118" s="29"/>
      <c r="H118" s="30"/>
      <c r="I118" s="30"/>
      <c r="J118" s="28"/>
      <c r="K118" s="28"/>
    </row>
    <row r="119" customFormat="false" ht="15" hidden="false" customHeight="false" outlineLevel="0" collapsed="false">
      <c r="A119" s="26" t="str">
        <f aca="false">IF(C119&lt;&gt;"","G-"&amp;TEXT(ROW()-3,"000"),"")</f>
        <v/>
      </c>
      <c r="B119" s="31"/>
      <c r="C119" s="32"/>
      <c r="D119" s="32"/>
      <c r="E119" s="32"/>
      <c r="F119" s="32"/>
      <c r="G119" s="17"/>
      <c r="H119" s="33"/>
      <c r="I119" s="33"/>
      <c r="J119" s="32"/>
      <c r="K119" s="32"/>
    </row>
    <row r="120" customFormat="false" ht="15" hidden="false" customHeight="false" outlineLevel="0" collapsed="false">
      <c r="A120" s="26" t="str">
        <f aca="false">IF(C120&lt;&gt;"","G-"&amp;TEXT(ROW()-3,"000"),"")</f>
        <v/>
      </c>
      <c r="B120" s="27"/>
      <c r="C120" s="28"/>
      <c r="D120" s="28"/>
      <c r="E120" s="28"/>
      <c r="F120" s="28"/>
      <c r="G120" s="29"/>
      <c r="H120" s="30"/>
      <c r="I120" s="30"/>
      <c r="J120" s="28"/>
      <c r="K120" s="28"/>
    </row>
    <row r="121" customFormat="false" ht="15" hidden="false" customHeight="false" outlineLevel="0" collapsed="false">
      <c r="A121" s="26" t="str">
        <f aca="false">IF(C121&lt;&gt;"","G-"&amp;TEXT(ROW()-3,"000"),"")</f>
        <v/>
      </c>
      <c r="B121" s="31"/>
      <c r="C121" s="32"/>
      <c r="D121" s="32"/>
      <c r="E121" s="32"/>
      <c r="F121" s="32"/>
      <c r="G121" s="17"/>
      <c r="H121" s="33"/>
      <c r="I121" s="33"/>
      <c r="J121" s="32"/>
      <c r="K121" s="32"/>
    </row>
    <row r="122" customFormat="false" ht="15" hidden="false" customHeight="false" outlineLevel="0" collapsed="false">
      <c r="A122" s="26" t="str">
        <f aca="false">IF(C122&lt;&gt;"","G-"&amp;TEXT(ROW()-3,"000"),"")</f>
        <v/>
      </c>
      <c r="B122" s="27"/>
      <c r="C122" s="28"/>
      <c r="D122" s="28"/>
      <c r="E122" s="28"/>
      <c r="F122" s="28"/>
      <c r="G122" s="29"/>
      <c r="H122" s="30"/>
      <c r="I122" s="30"/>
      <c r="J122" s="28"/>
      <c r="K122" s="28"/>
    </row>
    <row r="123" customFormat="false" ht="15" hidden="false" customHeight="false" outlineLevel="0" collapsed="false">
      <c r="A123" s="26" t="str">
        <f aca="false">IF(C123&lt;&gt;"","G-"&amp;TEXT(ROW()-3,"000"),"")</f>
        <v/>
      </c>
      <c r="B123" s="31"/>
      <c r="C123" s="32"/>
      <c r="D123" s="32"/>
      <c r="E123" s="32"/>
      <c r="F123" s="32"/>
      <c r="G123" s="17"/>
      <c r="H123" s="33"/>
      <c r="I123" s="33"/>
      <c r="J123" s="32"/>
      <c r="K123" s="32"/>
    </row>
    <row r="124" customFormat="false" ht="15" hidden="false" customHeight="false" outlineLevel="0" collapsed="false">
      <c r="A124" s="26" t="str">
        <f aca="false">IF(C124&lt;&gt;"","G-"&amp;TEXT(ROW()-3,"000"),"")</f>
        <v/>
      </c>
      <c r="B124" s="27"/>
      <c r="C124" s="28"/>
      <c r="D124" s="28"/>
      <c r="E124" s="28"/>
      <c r="F124" s="28"/>
      <c r="G124" s="29"/>
      <c r="H124" s="30"/>
      <c r="I124" s="30"/>
      <c r="J124" s="28"/>
      <c r="K124" s="28"/>
    </row>
    <row r="125" customFormat="false" ht="15" hidden="false" customHeight="false" outlineLevel="0" collapsed="false">
      <c r="A125" s="26" t="str">
        <f aca="false">IF(C125&lt;&gt;"","G-"&amp;TEXT(ROW()-3,"000"),"")</f>
        <v/>
      </c>
      <c r="B125" s="31"/>
      <c r="C125" s="32"/>
      <c r="D125" s="32"/>
      <c r="E125" s="32"/>
      <c r="F125" s="32"/>
      <c r="G125" s="17"/>
      <c r="H125" s="33"/>
      <c r="I125" s="33"/>
      <c r="J125" s="32"/>
      <c r="K125" s="32"/>
    </row>
    <row r="126" customFormat="false" ht="15" hidden="false" customHeight="false" outlineLevel="0" collapsed="false">
      <c r="A126" s="26" t="str">
        <f aca="false">IF(C126&lt;&gt;"","G-"&amp;TEXT(ROW()-3,"000"),"")</f>
        <v/>
      </c>
      <c r="B126" s="27"/>
      <c r="C126" s="28"/>
      <c r="D126" s="28"/>
      <c r="E126" s="28"/>
      <c r="F126" s="28"/>
      <c r="G126" s="29"/>
      <c r="H126" s="30"/>
      <c r="I126" s="30"/>
      <c r="J126" s="28"/>
      <c r="K126" s="28"/>
    </row>
    <row r="127" customFormat="false" ht="15" hidden="false" customHeight="false" outlineLevel="0" collapsed="false">
      <c r="A127" s="26" t="str">
        <f aca="false">IF(C127&lt;&gt;"","G-"&amp;TEXT(ROW()-3,"000"),"")</f>
        <v/>
      </c>
      <c r="B127" s="31"/>
      <c r="C127" s="32"/>
      <c r="D127" s="32"/>
      <c r="E127" s="32"/>
      <c r="F127" s="32"/>
      <c r="G127" s="17"/>
      <c r="H127" s="33"/>
      <c r="I127" s="33"/>
      <c r="J127" s="32"/>
      <c r="K127" s="32"/>
    </row>
    <row r="128" customFormat="false" ht="15" hidden="false" customHeight="false" outlineLevel="0" collapsed="false">
      <c r="A128" s="26" t="str">
        <f aca="false">IF(C128&lt;&gt;"","G-"&amp;TEXT(ROW()-3,"000"),"")</f>
        <v/>
      </c>
      <c r="B128" s="27"/>
      <c r="C128" s="28"/>
      <c r="D128" s="28"/>
      <c r="E128" s="28"/>
      <c r="F128" s="28"/>
      <c r="G128" s="29"/>
      <c r="H128" s="30"/>
      <c r="I128" s="30"/>
      <c r="J128" s="28"/>
      <c r="K128" s="28"/>
    </row>
    <row r="129" customFormat="false" ht="15" hidden="false" customHeight="false" outlineLevel="0" collapsed="false">
      <c r="A129" s="26" t="str">
        <f aca="false">IF(C129&lt;&gt;"","G-"&amp;TEXT(ROW()-3,"000"),"")</f>
        <v/>
      </c>
      <c r="B129" s="31"/>
      <c r="C129" s="32"/>
      <c r="D129" s="32"/>
      <c r="E129" s="32"/>
      <c r="F129" s="32"/>
      <c r="G129" s="17"/>
      <c r="H129" s="33"/>
      <c r="I129" s="33"/>
      <c r="J129" s="32"/>
      <c r="K129" s="32"/>
    </row>
    <row r="130" customFormat="false" ht="15" hidden="false" customHeight="false" outlineLevel="0" collapsed="false">
      <c r="A130" s="26" t="str">
        <f aca="false">IF(C130&lt;&gt;"","G-"&amp;TEXT(ROW()-3,"000"),"")</f>
        <v/>
      </c>
      <c r="B130" s="27"/>
      <c r="C130" s="28"/>
      <c r="D130" s="28"/>
      <c r="E130" s="28"/>
      <c r="F130" s="28"/>
      <c r="G130" s="29"/>
      <c r="H130" s="30"/>
      <c r="I130" s="30"/>
      <c r="J130" s="28"/>
      <c r="K130" s="28"/>
    </row>
    <row r="131" customFormat="false" ht="15" hidden="false" customHeight="false" outlineLevel="0" collapsed="false">
      <c r="A131" s="26" t="str">
        <f aca="false">IF(C131&lt;&gt;"","G-"&amp;TEXT(ROW()-3,"000"),"")</f>
        <v/>
      </c>
      <c r="B131" s="31"/>
      <c r="C131" s="32"/>
      <c r="D131" s="32"/>
      <c r="E131" s="32"/>
      <c r="F131" s="32"/>
      <c r="G131" s="17"/>
      <c r="H131" s="33"/>
      <c r="I131" s="33"/>
      <c r="J131" s="32"/>
      <c r="K131" s="32"/>
    </row>
    <row r="132" customFormat="false" ht="15" hidden="false" customHeight="false" outlineLevel="0" collapsed="false">
      <c r="A132" s="26" t="str">
        <f aca="false">IF(C132&lt;&gt;"","G-"&amp;TEXT(ROW()-3,"000"),"")</f>
        <v/>
      </c>
      <c r="B132" s="27"/>
      <c r="C132" s="28"/>
      <c r="D132" s="28"/>
      <c r="E132" s="28"/>
      <c r="F132" s="28"/>
      <c r="G132" s="29"/>
      <c r="H132" s="30"/>
      <c r="I132" s="30"/>
      <c r="J132" s="28"/>
      <c r="K132" s="28"/>
    </row>
    <row r="133" customFormat="false" ht="15" hidden="false" customHeight="false" outlineLevel="0" collapsed="false">
      <c r="A133" s="26" t="str">
        <f aca="false">IF(C133&lt;&gt;"","G-"&amp;TEXT(ROW()-3,"000"),"")</f>
        <v/>
      </c>
      <c r="B133" s="31"/>
      <c r="C133" s="32"/>
      <c r="D133" s="32"/>
      <c r="E133" s="32"/>
      <c r="F133" s="32"/>
      <c r="G133" s="17"/>
      <c r="H133" s="33"/>
      <c r="I133" s="33"/>
      <c r="J133" s="32"/>
      <c r="K133" s="32"/>
    </row>
    <row r="134" customFormat="false" ht="15" hidden="false" customHeight="false" outlineLevel="0" collapsed="false">
      <c r="A134" s="26" t="str">
        <f aca="false">IF(C134&lt;&gt;"","G-"&amp;TEXT(ROW()-3,"000"),"")</f>
        <v/>
      </c>
      <c r="B134" s="27"/>
      <c r="C134" s="28"/>
      <c r="D134" s="28"/>
      <c r="E134" s="28"/>
      <c r="F134" s="28"/>
      <c r="G134" s="29"/>
      <c r="H134" s="30"/>
      <c r="I134" s="30"/>
      <c r="J134" s="28"/>
      <c r="K134" s="28"/>
    </row>
    <row r="135" customFormat="false" ht="15" hidden="false" customHeight="false" outlineLevel="0" collapsed="false">
      <c r="A135" s="26" t="str">
        <f aca="false">IF(C135&lt;&gt;"","G-"&amp;TEXT(ROW()-3,"000"),"")</f>
        <v/>
      </c>
      <c r="B135" s="31"/>
      <c r="C135" s="32"/>
      <c r="D135" s="32"/>
      <c r="E135" s="32"/>
      <c r="F135" s="32"/>
      <c r="G135" s="17"/>
      <c r="H135" s="33"/>
      <c r="I135" s="33"/>
      <c r="J135" s="32"/>
      <c r="K135" s="32"/>
    </row>
    <row r="136" customFormat="false" ht="15" hidden="false" customHeight="false" outlineLevel="0" collapsed="false">
      <c r="A136" s="26" t="str">
        <f aca="false">IF(C136&lt;&gt;"","G-"&amp;TEXT(ROW()-3,"000"),"")</f>
        <v/>
      </c>
      <c r="B136" s="27"/>
      <c r="C136" s="28"/>
      <c r="D136" s="28"/>
      <c r="E136" s="28"/>
      <c r="F136" s="28"/>
      <c r="G136" s="29"/>
      <c r="H136" s="30"/>
      <c r="I136" s="30"/>
      <c r="J136" s="28"/>
      <c r="K136" s="28"/>
    </row>
    <row r="137" customFormat="false" ht="15" hidden="false" customHeight="false" outlineLevel="0" collapsed="false">
      <c r="A137" s="26" t="str">
        <f aca="false">IF(C137&lt;&gt;"","G-"&amp;TEXT(ROW()-3,"000"),"")</f>
        <v/>
      </c>
      <c r="B137" s="31"/>
      <c r="C137" s="32"/>
      <c r="D137" s="32"/>
      <c r="E137" s="32"/>
      <c r="F137" s="32"/>
      <c r="G137" s="17"/>
      <c r="H137" s="33"/>
      <c r="I137" s="33"/>
      <c r="J137" s="32"/>
      <c r="K137" s="32"/>
    </row>
    <row r="138" customFormat="false" ht="15" hidden="false" customHeight="false" outlineLevel="0" collapsed="false">
      <c r="A138" s="26" t="str">
        <f aca="false">IF(C138&lt;&gt;"","G-"&amp;TEXT(ROW()-3,"000"),"")</f>
        <v/>
      </c>
      <c r="B138" s="27"/>
      <c r="C138" s="28"/>
      <c r="D138" s="28"/>
      <c r="E138" s="28"/>
      <c r="F138" s="28"/>
      <c r="G138" s="29"/>
      <c r="H138" s="30"/>
      <c r="I138" s="30"/>
      <c r="J138" s="28"/>
      <c r="K138" s="28"/>
    </row>
    <row r="139" customFormat="false" ht="15" hidden="false" customHeight="false" outlineLevel="0" collapsed="false">
      <c r="A139" s="26" t="str">
        <f aca="false">IF(C139&lt;&gt;"","G-"&amp;TEXT(ROW()-3,"000"),"")</f>
        <v/>
      </c>
      <c r="B139" s="31"/>
      <c r="C139" s="32"/>
      <c r="D139" s="32"/>
      <c r="E139" s="32"/>
      <c r="F139" s="32"/>
      <c r="G139" s="17"/>
      <c r="H139" s="33"/>
      <c r="I139" s="33"/>
      <c r="J139" s="32"/>
      <c r="K139" s="32"/>
    </row>
    <row r="140" customFormat="false" ht="15" hidden="false" customHeight="false" outlineLevel="0" collapsed="false">
      <c r="A140" s="26" t="str">
        <f aca="false">IF(C140&lt;&gt;"","G-"&amp;TEXT(ROW()-3,"000"),"")</f>
        <v/>
      </c>
      <c r="B140" s="27"/>
      <c r="C140" s="28"/>
      <c r="D140" s="28"/>
      <c r="E140" s="28"/>
      <c r="F140" s="28"/>
      <c r="G140" s="29"/>
      <c r="H140" s="30"/>
      <c r="I140" s="30"/>
      <c r="J140" s="28"/>
      <c r="K140" s="28"/>
    </row>
    <row r="141" customFormat="false" ht="15" hidden="false" customHeight="false" outlineLevel="0" collapsed="false">
      <c r="A141" s="26" t="str">
        <f aca="false">IF(C141&lt;&gt;"","G-"&amp;TEXT(ROW()-3,"000"),"")</f>
        <v/>
      </c>
      <c r="B141" s="31"/>
      <c r="C141" s="32"/>
      <c r="D141" s="32"/>
      <c r="E141" s="32"/>
      <c r="F141" s="32"/>
      <c r="G141" s="17"/>
      <c r="H141" s="33"/>
      <c r="I141" s="33"/>
      <c r="J141" s="32"/>
      <c r="K141" s="32"/>
    </row>
    <row r="142" customFormat="false" ht="15" hidden="false" customHeight="false" outlineLevel="0" collapsed="false">
      <c r="A142" s="26" t="str">
        <f aca="false">IF(C142&lt;&gt;"","G-"&amp;TEXT(ROW()-3,"000"),"")</f>
        <v/>
      </c>
      <c r="B142" s="27"/>
      <c r="C142" s="28"/>
      <c r="D142" s="28"/>
      <c r="E142" s="28"/>
      <c r="F142" s="28"/>
      <c r="G142" s="29"/>
      <c r="H142" s="30"/>
      <c r="I142" s="30"/>
      <c r="J142" s="28"/>
      <c r="K142" s="28"/>
    </row>
    <row r="143" customFormat="false" ht="15" hidden="false" customHeight="false" outlineLevel="0" collapsed="false">
      <c r="A143" s="26" t="str">
        <f aca="false">IF(C143&lt;&gt;"","G-"&amp;TEXT(ROW()-3,"000"),"")</f>
        <v/>
      </c>
      <c r="B143" s="31"/>
      <c r="C143" s="32"/>
      <c r="D143" s="32"/>
      <c r="E143" s="32"/>
      <c r="F143" s="32"/>
      <c r="G143" s="17"/>
      <c r="H143" s="33"/>
      <c r="I143" s="33"/>
      <c r="J143" s="32"/>
      <c r="K143" s="32"/>
    </row>
    <row r="144" customFormat="false" ht="15" hidden="false" customHeight="false" outlineLevel="0" collapsed="false">
      <c r="A144" s="26" t="str">
        <f aca="false">IF(C144&lt;&gt;"","G-"&amp;TEXT(ROW()-3,"000"),"")</f>
        <v/>
      </c>
      <c r="B144" s="27"/>
      <c r="C144" s="28"/>
      <c r="D144" s="28"/>
      <c r="E144" s="28"/>
      <c r="F144" s="28"/>
      <c r="G144" s="29"/>
      <c r="H144" s="30"/>
      <c r="I144" s="30"/>
      <c r="J144" s="28"/>
      <c r="K144" s="28"/>
    </row>
    <row r="145" customFormat="false" ht="15" hidden="false" customHeight="false" outlineLevel="0" collapsed="false">
      <c r="A145" s="26" t="str">
        <f aca="false">IF(C145&lt;&gt;"","G-"&amp;TEXT(ROW()-3,"000"),"")</f>
        <v/>
      </c>
      <c r="B145" s="31"/>
      <c r="C145" s="32"/>
      <c r="D145" s="32"/>
      <c r="E145" s="32"/>
      <c r="F145" s="32"/>
      <c r="G145" s="17"/>
      <c r="H145" s="33"/>
      <c r="I145" s="33"/>
      <c r="J145" s="32"/>
      <c r="K145" s="32"/>
    </row>
    <row r="146" customFormat="false" ht="15" hidden="false" customHeight="false" outlineLevel="0" collapsed="false">
      <c r="A146" s="26" t="str">
        <f aca="false">IF(C146&lt;&gt;"","G-"&amp;TEXT(ROW()-3,"000"),"")</f>
        <v/>
      </c>
      <c r="B146" s="27"/>
      <c r="C146" s="28"/>
      <c r="D146" s="28"/>
      <c r="E146" s="28"/>
      <c r="F146" s="28"/>
      <c r="G146" s="29"/>
      <c r="H146" s="30"/>
      <c r="I146" s="30"/>
      <c r="J146" s="28"/>
      <c r="K146" s="28"/>
    </row>
    <row r="147" customFormat="false" ht="15" hidden="false" customHeight="false" outlineLevel="0" collapsed="false">
      <c r="A147" s="26" t="str">
        <f aca="false">IF(C147&lt;&gt;"","G-"&amp;TEXT(ROW()-3,"000"),"")</f>
        <v/>
      </c>
      <c r="B147" s="31"/>
      <c r="C147" s="32"/>
      <c r="D147" s="32"/>
      <c r="E147" s="32"/>
      <c r="F147" s="32"/>
      <c r="G147" s="17"/>
      <c r="H147" s="33"/>
      <c r="I147" s="33"/>
      <c r="J147" s="32"/>
      <c r="K147" s="32"/>
    </row>
    <row r="148" customFormat="false" ht="15" hidden="false" customHeight="false" outlineLevel="0" collapsed="false">
      <c r="A148" s="26" t="str">
        <f aca="false">IF(C148&lt;&gt;"","G-"&amp;TEXT(ROW()-3,"000"),"")</f>
        <v/>
      </c>
      <c r="B148" s="27"/>
      <c r="C148" s="28"/>
      <c r="D148" s="28"/>
      <c r="E148" s="28"/>
      <c r="F148" s="28"/>
      <c r="G148" s="29"/>
      <c r="H148" s="30"/>
      <c r="I148" s="30"/>
      <c r="J148" s="28"/>
      <c r="K148" s="28"/>
    </row>
    <row r="149" customFormat="false" ht="15" hidden="false" customHeight="false" outlineLevel="0" collapsed="false">
      <c r="A149" s="26" t="str">
        <f aca="false">IF(C149&lt;&gt;"","G-"&amp;TEXT(ROW()-3,"000"),"")</f>
        <v/>
      </c>
      <c r="B149" s="31"/>
      <c r="C149" s="32"/>
      <c r="D149" s="32"/>
      <c r="E149" s="32"/>
      <c r="F149" s="32"/>
      <c r="G149" s="17"/>
      <c r="H149" s="33"/>
      <c r="I149" s="33"/>
      <c r="J149" s="32"/>
      <c r="K149" s="32"/>
    </row>
    <row r="150" customFormat="false" ht="15" hidden="false" customHeight="false" outlineLevel="0" collapsed="false">
      <c r="A150" s="26" t="str">
        <f aca="false">IF(C150&lt;&gt;"","G-"&amp;TEXT(ROW()-3,"000"),"")</f>
        <v/>
      </c>
      <c r="B150" s="27"/>
      <c r="C150" s="28"/>
      <c r="D150" s="28"/>
      <c r="E150" s="28"/>
      <c r="F150" s="28"/>
      <c r="G150" s="29"/>
      <c r="H150" s="30"/>
      <c r="I150" s="30"/>
      <c r="J150" s="28"/>
      <c r="K150" s="28"/>
    </row>
    <row r="151" customFormat="false" ht="15" hidden="false" customHeight="false" outlineLevel="0" collapsed="false">
      <c r="A151" s="26" t="str">
        <f aca="false">IF(C151&lt;&gt;"","G-"&amp;TEXT(ROW()-3,"000"),"")</f>
        <v/>
      </c>
      <c r="B151" s="31"/>
      <c r="C151" s="32"/>
      <c r="D151" s="32"/>
      <c r="E151" s="32"/>
      <c r="F151" s="32"/>
      <c r="G151" s="17"/>
      <c r="H151" s="33"/>
      <c r="I151" s="33"/>
      <c r="J151" s="32"/>
      <c r="K151" s="32"/>
    </row>
    <row r="152" customFormat="false" ht="15" hidden="false" customHeight="false" outlineLevel="0" collapsed="false">
      <c r="A152" s="26" t="str">
        <f aca="false">IF(C152&lt;&gt;"","G-"&amp;TEXT(ROW()-3,"000"),"")</f>
        <v/>
      </c>
      <c r="B152" s="27"/>
      <c r="C152" s="28"/>
      <c r="D152" s="28"/>
      <c r="E152" s="28"/>
      <c r="F152" s="28"/>
      <c r="G152" s="29"/>
      <c r="H152" s="30"/>
      <c r="I152" s="30"/>
      <c r="J152" s="28"/>
      <c r="K152" s="28"/>
    </row>
    <row r="153" customFormat="false" ht="15" hidden="false" customHeight="false" outlineLevel="0" collapsed="false">
      <c r="A153" s="26" t="str">
        <f aca="false">IF(C153&lt;&gt;"","G-"&amp;TEXT(ROW()-3,"000"),"")</f>
        <v/>
      </c>
      <c r="B153" s="31"/>
      <c r="C153" s="32"/>
      <c r="D153" s="32"/>
      <c r="E153" s="32"/>
      <c r="F153" s="32"/>
      <c r="G153" s="17"/>
      <c r="H153" s="33"/>
      <c r="I153" s="33"/>
      <c r="J153" s="32"/>
      <c r="K153" s="32"/>
    </row>
    <row r="154" customFormat="false" ht="15" hidden="false" customHeight="false" outlineLevel="0" collapsed="false">
      <c r="A154" s="26" t="str">
        <f aca="false">IF(C154&lt;&gt;"","G-"&amp;TEXT(ROW()-3,"000"),"")</f>
        <v/>
      </c>
      <c r="B154" s="27"/>
      <c r="C154" s="28"/>
      <c r="D154" s="28"/>
      <c r="E154" s="28"/>
      <c r="F154" s="28"/>
      <c r="G154" s="29"/>
      <c r="H154" s="30"/>
      <c r="I154" s="30"/>
      <c r="J154" s="28"/>
      <c r="K154" s="28"/>
    </row>
    <row r="155" customFormat="false" ht="15" hidden="false" customHeight="false" outlineLevel="0" collapsed="false">
      <c r="A155" s="26" t="str">
        <f aca="false">IF(C155&lt;&gt;"","G-"&amp;TEXT(ROW()-3,"000"),"")</f>
        <v/>
      </c>
      <c r="B155" s="31"/>
      <c r="C155" s="32"/>
      <c r="D155" s="32"/>
      <c r="E155" s="32"/>
      <c r="F155" s="32"/>
      <c r="G155" s="17"/>
      <c r="H155" s="33"/>
      <c r="I155" s="33"/>
      <c r="J155" s="32"/>
      <c r="K155" s="32"/>
    </row>
    <row r="156" customFormat="false" ht="15" hidden="false" customHeight="false" outlineLevel="0" collapsed="false">
      <c r="A156" s="26" t="str">
        <f aca="false">IF(C156&lt;&gt;"","G-"&amp;TEXT(ROW()-3,"000"),"")</f>
        <v/>
      </c>
      <c r="B156" s="27"/>
      <c r="C156" s="28"/>
      <c r="D156" s="28"/>
      <c r="E156" s="28"/>
      <c r="F156" s="28"/>
      <c r="G156" s="29"/>
      <c r="H156" s="30"/>
      <c r="I156" s="30"/>
      <c r="J156" s="28"/>
      <c r="K156" s="28"/>
    </row>
    <row r="157" customFormat="false" ht="15" hidden="false" customHeight="false" outlineLevel="0" collapsed="false">
      <c r="A157" s="26" t="str">
        <f aca="false">IF(C157&lt;&gt;"","G-"&amp;TEXT(ROW()-3,"000"),"")</f>
        <v/>
      </c>
      <c r="B157" s="31"/>
      <c r="C157" s="32"/>
      <c r="D157" s="32"/>
      <c r="E157" s="32"/>
      <c r="F157" s="32"/>
      <c r="G157" s="17"/>
      <c r="H157" s="33"/>
      <c r="I157" s="33"/>
      <c r="J157" s="32"/>
      <c r="K157" s="32"/>
    </row>
    <row r="158" customFormat="false" ht="15" hidden="false" customHeight="false" outlineLevel="0" collapsed="false">
      <c r="A158" s="26" t="str">
        <f aca="false">IF(C158&lt;&gt;"","G-"&amp;TEXT(ROW()-3,"000"),"")</f>
        <v/>
      </c>
      <c r="B158" s="27"/>
      <c r="C158" s="28"/>
      <c r="D158" s="28"/>
      <c r="E158" s="28"/>
      <c r="F158" s="28"/>
      <c r="G158" s="29"/>
      <c r="H158" s="30"/>
      <c r="I158" s="30"/>
      <c r="J158" s="28"/>
      <c r="K158" s="28"/>
    </row>
    <row r="159" customFormat="false" ht="15" hidden="false" customHeight="false" outlineLevel="0" collapsed="false">
      <c r="A159" s="26" t="str">
        <f aca="false">IF(C159&lt;&gt;"","G-"&amp;TEXT(ROW()-3,"000"),"")</f>
        <v/>
      </c>
      <c r="B159" s="31"/>
      <c r="C159" s="32"/>
      <c r="D159" s="32"/>
      <c r="E159" s="32"/>
      <c r="F159" s="32"/>
      <c r="G159" s="17"/>
      <c r="H159" s="33"/>
      <c r="I159" s="33"/>
      <c r="J159" s="32"/>
      <c r="K159" s="32"/>
    </row>
    <row r="160" customFormat="false" ht="15" hidden="false" customHeight="false" outlineLevel="0" collapsed="false">
      <c r="A160" s="26" t="str">
        <f aca="false">IF(C160&lt;&gt;"","G-"&amp;TEXT(ROW()-3,"000"),"")</f>
        <v/>
      </c>
      <c r="B160" s="27"/>
      <c r="C160" s="28"/>
      <c r="D160" s="28"/>
      <c r="E160" s="28"/>
      <c r="F160" s="28"/>
      <c r="G160" s="29"/>
      <c r="H160" s="30"/>
      <c r="I160" s="30"/>
      <c r="J160" s="28"/>
      <c r="K160" s="28"/>
    </row>
    <row r="161" customFormat="false" ht="15" hidden="false" customHeight="false" outlineLevel="0" collapsed="false">
      <c r="A161" s="26" t="str">
        <f aca="false">IF(C161&lt;&gt;"","G-"&amp;TEXT(ROW()-3,"000"),"")</f>
        <v/>
      </c>
      <c r="B161" s="31"/>
      <c r="C161" s="32"/>
      <c r="D161" s="32"/>
      <c r="E161" s="32"/>
      <c r="F161" s="32"/>
      <c r="G161" s="17"/>
      <c r="H161" s="33"/>
      <c r="I161" s="33"/>
      <c r="J161" s="32"/>
      <c r="K161" s="32"/>
    </row>
    <row r="162" customFormat="false" ht="15" hidden="false" customHeight="false" outlineLevel="0" collapsed="false">
      <c r="A162" s="26" t="str">
        <f aca="false">IF(C162&lt;&gt;"","G-"&amp;TEXT(ROW()-3,"000"),"")</f>
        <v/>
      </c>
      <c r="B162" s="27"/>
      <c r="C162" s="28"/>
      <c r="D162" s="28"/>
      <c r="E162" s="28"/>
      <c r="F162" s="28"/>
      <c r="G162" s="29"/>
      <c r="H162" s="30"/>
      <c r="I162" s="30"/>
      <c r="J162" s="28"/>
      <c r="K162" s="28"/>
    </row>
    <row r="163" customFormat="false" ht="15" hidden="false" customHeight="false" outlineLevel="0" collapsed="false">
      <c r="A163" s="26" t="str">
        <f aca="false">IF(C163&lt;&gt;"","G-"&amp;TEXT(ROW()-3,"000"),"")</f>
        <v/>
      </c>
      <c r="B163" s="31"/>
      <c r="C163" s="32"/>
      <c r="D163" s="32"/>
      <c r="E163" s="32"/>
      <c r="F163" s="32"/>
      <c r="G163" s="17"/>
      <c r="H163" s="33"/>
      <c r="I163" s="33"/>
      <c r="J163" s="32"/>
      <c r="K163" s="32"/>
    </row>
    <row r="164" customFormat="false" ht="15" hidden="false" customHeight="false" outlineLevel="0" collapsed="false">
      <c r="A164" s="26" t="str">
        <f aca="false">IF(C164&lt;&gt;"","G-"&amp;TEXT(ROW()-3,"000"),"")</f>
        <v/>
      </c>
      <c r="B164" s="27"/>
      <c r="C164" s="28"/>
      <c r="D164" s="28"/>
      <c r="E164" s="28"/>
      <c r="F164" s="28"/>
      <c r="G164" s="29"/>
      <c r="H164" s="30"/>
      <c r="I164" s="30"/>
      <c r="J164" s="28"/>
      <c r="K164" s="28"/>
    </row>
    <row r="165" customFormat="false" ht="15" hidden="false" customHeight="false" outlineLevel="0" collapsed="false">
      <c r="A165" s="26" t="str">
        <f aca="false">IF(C165&lt;&gt;"","G-"&amp;TEXT(ROW()-3,"000"),"")</f>
        <v/>
      </c>
      <c r="B165" s="31"/>
      <c r="C165" s="32"/>
      <c r="D165" s="32"/>
      <c r="E165" s="32"/>
      <c r="F165" s="32"/>
      <c r="G165" s="17"/>
      <c r="H165" s="33"/>
      <c r="I165" s="33"/>
      <c r="J165" s="32"/>
      <c r="K165" s="32"/>
    </row>
    <row r="166" customFormat="false" ht="15" hidden="false" customHeight="false" outlineLevel="0" collapsed="false">
      <c r="A166" s="26" t="str">
        <f aca="false">IF(C166&lt;&gt;"","G-"&amp;TEXT(ROW()-3,"000"),"")</f>
        <v/>
      </c>
      <c r="B166" s="27"/>
      <c r="C166" s="28"/>
      <c r="D166" s="28"/>
      <c r="E166" s="28"/>
      <c r="F166" s="28"/>
      <c r="G166" s="29"/>
      <c r="H166" s="30"/>
      <c r="I166" s="30"/>
      <c r="J166" s="28"/>
      <c r="K166" s="28"/>
    </row>
    <row r="167" customFormat="false" ht="15" hidden="false" customHeight="false" outlineLevel="0" collapsed="false">
      <c r="A167" s="26" t="str">
        <f aca="false">IF(C167&lt;&gt;"","G-"&amp;TEXT(ROW()-3,"000"),"")</f>
        <v/>
      </c>
      <c r="B167" s="31"/>
      <c r="C167" s="32"/>
      <c r="D167" s="32"/>
      <c r="E167" s="32"/>
      <c r="F167" s="32"/>
      <c r="G167" s="17"/>
      <c r="H167" s="33"/>
      <c r="I167" s="33"/>
      <c r="J167" s="32"/>
      <c r="K167" s="32"/>
    </row>
    <row r="168" customFormat="false" ht="15" hidden="false" customHeight="false" outlineLevel="0" collapsed="false">
      <c r="A168" s="26" t="str">
        <f aca="false">IF(C168&lt;&gt;"","G-"&amp;TEXT(ROW()-3,"000"),"")</f>
        <v/>
      </c>
      <c r="B168" s="27"/>
      <c r="C168" s="28"/>
      <c r="D168" s="28"/>
      <c r="E168" s="28"/>
      <c r="F168" s="28"/>
      <c r="G168" s="29"/>
      <c r="H168" s="30"/>
      <c r="I168" s="30"/>
      <c r="J168" s="28"/>
      <c r="K168" s="28"/>
    </row>
    <row r="169" customFormat="false" ht="15" hidden="false" customHeight="false" outlineLevel="0" collapsed="false">
      <c r="A169" s="26" t="str">
        <f aca="false">IF(C169&lt;&gt;"","G-"&amp;TEXT(ROW()-3,"000"),"")</f>
        <v/>
      </c>
      <c r="B169" s="31"/>
      <c r="C169" s="32"/>
      <c r="D169" s="32"/>
      <c r="E169" s="32"/>
      <c r="F169" s="32"/>
      <c r="G169" s="17"/>
      <c r="H169" s="33"/>
      <c r="I169" s="33"/>
      <c r="J169" s="32"/>
      <c r="K169" s="32"/>
    </row>
    <row r="170" customFormat="false" ht="15" hidden="false" customHeight="false" outlineLevel="0" collapsed="false">
      <c r="A170" s="26" t="str">
        <f aca="false">IF(C170&lt;&gt;"","G-"&amp;TEXT(ROW()-3,"000"),"")</f>
        <v/>
      </c>
      <c r="B170" s="27"/>
      <c r="C170" s="28"/>
      <c r="D170" s="28"/>
      <c r="E170" s="28"/>
      <c r="F170" s="28"/>
      <c r="G170" s="29"/>
      <c r="H170" s="30"/>
      <c r="I170" s="30"/>
      <c r="J170" s="28"/>
      <c r="K170" s="28"/>
    </row>
    <row r="171" customFormat="false" ht="15" hidden="false" customHeight="false" outlineLevel="0" collapsed="false">
      <c r="A171" s="26" t="str">
        <f aca="false">IF(C171&lt;&gt;"","G-"&amp;TEXT(ROW()-3,"000"),"")</f>
        <v/>
      </c>
      <c r="B171" s="31"/>
      <c r="C171" s="32"/>
      <c r="D171" s="32"/>
      <c r="E171" s="32"/>
      <c r="F171" s="32"/>
      <c r="G171" s="17"/>
      <c r="H171" s="33"/>
      <c r="I171" s="33"/>
      <c r="J171" s="32"/>
      <c r="K171" s="32"/>
    </row>
    <row r="172" customFormat="false" ht="15" hidden="false" customHeight="false" outlineLevel="0" collapsed="false">
      <c r="A172" s="26" t="str">
        <f aca="false">IF(C172&lt;&gt;"","G-"&amp;TEXT(ROW()-3,"000"),"")</f>
        <v/>
      </c>
      <c r="B172" s="27"/>
      <c r="C172" s="28"/>
      <c r="D172" s="28"/>
      <c r="E172" s="28"/>
      <c r="F172" s="28"/>
      <c r="G172" s="29"/>
      <c r="H172" s="30"/>
      <c r="I172" s="30"/>
      <c r="J172" s="28"/>
      <c r="K172" s="28"/>
    </row>
    <row r="173" customFormat="false" ht="15" hidden="false" customHeight="false" outlineLevel="0" collapsed="false">
      <c r="A173" s="26" t="str">
        <f aca="false">IF(C173&lt;&gt;"","G-"&amp;TEXT(ROW()-3,"000"),"")</f>
        <v/>
      </c>
      <c r="B173" s="31"/>
      <c r="C173" s="32"/>
      <c r="D173" s="32"/>
      <c r="E173" s="32"/>
      <c r="F173" s="32"/>
      <c r="G173" s="17"/>
      <c r="H173" s="33"/>
      <c r="I173" s="33"/>
      <c r="J173" s="32"/>
      <c r="K173" s="32"/>
    </row>
    <row r="174" customFormat="false" ht="15" hidden="false" customHeight="false" outlineLevel="0" collapsed="false">
      <c r="A174" s="26" t="str">
        <f aca="false">IF(C174&lt;&gt;"","G-"&amp;TEXT(ROW()-3,"000"),"")</f>
        <v/>
      </c>
      <c r="B174" s="27"/>
      <c r="C174" s="28"/>
      <c r="D174" s="28"/>
      <c r="E174" s="28"/>
      <c r="F174" s="28"/>
      <c r="G174" s="29"/>
      <c r="H174" s="30"/>
      <c r="I174" s="30"/>
      <c r="J174" s="28"/>
      <c r="K174" s="28"/>
    </row>
    <row r="175" customFormat="false" ht="15" hidden="false" customHeight="false" outlineLevel="0" collapsed="false">
      <c r="A175" s="26" t="str">
        <f aca="false">IF(C175&lt;&gt;"","G-"&amp;TEXT(ROW()-3,"000"),"")</f>
        <v/>
      </c>
      <c r="B175" s="31"/>
      <c r="C175" s="32"/>
      <c r="D175" s="32"/>
      <c r="E175" s="32"/>
      <c r="F175" s="32"/>
      <c r="G175" s="17"/>
      <c r="H175" s="33"/>
      <c r="I175" s="33"/>
      <c r="J175" s="32"/>
      <c r="K175" s="32"/>
    </row>
    <row r="176" customFormat="false" ht="15" hidden="false" customHeight="false" outlineLevel="0" collapsed="false">
      <c r="A176" s="26" t="str">
        <f aca="false">IF(C176&lt;&gt;"","G-"&amp;TEXT(ROW()-3,"000"),"")</f>
        <v/>
      </c>
      <c r="B176" s="27"/>
      <c r="C176" s="28"/>
      <c r="D176" s="28"/>
      <c r="E176" s="28"/>
      <c r="F176" s="28"/>
      <c r="G176" s="29"/>
      <c r="H176" s="30"/>
      <c r="I176" s="30"/>
      <c r="J176" s="28"/>
      <c r="K176" s="28"/>
    </row>
    <row r="177" customFormat="false" ht="15" hidden="false" customHeight="false" outlineLevel="0" collapsed="false">
      <c r="A177" s="26" t="str">
        <f aca="false">IF(C177&lt;&gt;"","G-"&amp;TEXT(ROW()-3,"000"),"")</f>
        <v/>
      </c>
      <c r="B177" s="31"/>
      <c r="C177" s="32"/>
      <c r="D177" s="32"/>
      <c r="E177" s="32"/>
      <c r="F177" s="32"/>
      <c r="G177" s="17"/>
      <c r="H177" s="33"/>
      <c r="I177" s="33"/>
      <c r="J177" s="32"/>
      <c r="K177" s="32"/>
    </row>
    <row r="178" customFormat="false" ht="15" hidden="false" customHeight="false" outlineLevel="0" collapsed="false">
      <c r="A178" s="26" t="str">
        <f aca="false">IF(C178&lt;&gt;"","G-"&amp;TEXT(ROW()-3,"000"),"")</f>
        <v/>
      </c>
      <c r="B178" s="27"/>
      <c r="C178" s="28"/>
      <c r="D178" s="28"/>
      <c r="E178" s="28"/>
      <c r="F178" s="28"/>
      <c r="G178" s="29"/>
      <c r="H178" s="30"/>
      <c r="I178" s="30"/>
      <c r="J178" s="28"/>
      <c r="K178" s="28"/>
    </row>
    <row r="179" customFormat="false" ht="15" hidden="false" customHeight="false" outlineLevel="0" collapsed="false">
      <c r="A179" s="26" t="str">
        <f aca="false">IF(C179&lt;&gt;"","G-"&amp;TEXT(ROW()-3,"000"),"")</f>
        <v/>
      </c>
      <c r="B179" s="31"/>
      <c r="C179" s="32"/>
      <c r="D179" s="32"/>
      <c r="E179" s="32"/>
      <c r="F179" s="32"/>
      <c r="G179" s="17"/>
      <c r="H179" s="33"/>
      <c r="I179" s="33"/>
      <c r="J179" s="32"/>
      <c r="K179" s="32"/>
    </row>
    <row r="180" customFormat="false" ht="15" hidden="false" customHeight="false" outlineLevel="0" collapsed="false">
      <c r="A180" s="26" t="str">
        <f aca="false">IF(C180&lt;&gt;"","G-"&amp;TEXT(ROW()-3,"000"),"")</f>
        <v/>
      </c>
      <c r="B180" s="27"/>
      <c r="C180" s="28"/>
      <c r="D180" s="28"/>
      <c r="E180" s="28"/>
      <c r="F180" s="28"/>
      <c r="G180" s="29"/>
      <c r="H180" s="30"/>
      <c r="I180" s="30"/>
      <c r="J180" s="28"/>
      <c r="K180" s="28"/>
    </row>
    <row r="181" customFormat="false" ht="15" hidden="false" customHeight="false" outlineLevel="0" collapsed="false">
      <c r="A181" s="26" t="str">
        <f aca="false">IF(C181&lt;&gt;"","G-"&amp;TEXT(ROW()-3,"000"),"")</f>
        <v/>
      </c>
      <c r="B181" s="31"/>
      <c r="C181" s="32"/>
      <c r="D181" s="32"/>
      <c r="E181" s="32"/>
      <c r="F181" s="32"/>
      <c r="G181" s="17"/>
      <c r="H181" s="33"/>
      <c r="I181" s="33"/>
      <c r="J181" s="32"/>
      <c r="K181" s="32"/>
    </row>
    <row r="182" customFormat="false" ht="15" hidden="false" customHeight="false" outlineLevel="0" collapsed="false">
      <c r="A182" s="26" t="str">
        <f aca="false">IF(C182&lt;&gt;"","G-"&amp;TEXT(ROW()-3,"000"),"")</f>
        <v/>
      </c>
      <c r="B182" s="27"/>
      <c r="C182" s="28"/>
      <c r="D182" s="28"/>
      <c r="E182" s="28"/>
      <c r="F182" s="28"/>
      <c r="G182" s="29"/>
      <c r="H182" s="30"/>
      <c r="I182" s="30"/>
      <c r="J182" s="28"/>
      <c r="K182" s="28"/>
    </row>
    <row r="183" customFormat="false" ht="15" hidden="false" customHeight="false" outlineLevel="0" collapsed="false">
      <c r="A183" s="26" t="str">
        <f aca="false">IF(C183&lt;&gt;"","G-"&amp;TEXT(ROW()-3,"000"),"")</f>
        <v/>
      </c>
      <c r="B183" s="31"/>
      <c r="C183" s="32"/>
      <c r="D183" s="32"/>
      <c r="E183" s="32"/>
      <c r="F183" s="32"/>
      <c r="G183" s="17"/>
      <c r="H183" s="33"/>
      <c r="I183" s="33"/>
      <c r="J183" s="32"/>
      <c r="K183" s="32"/>
    </row>
    <row r="184" customFormat="false" ht="15" hidden="false" customHeight="false" outlineLevel="0" collapsed="false">
      <c r="A184" s="26" t="str">
        <f aca="false">IF(C184&lt;&gt;"","G-"&amp;TEXT(ROW()-3,"000"),"")</f>
        <v/>
      </c>
      <c r="B184" s="27"/>
      <c r="C184" s="28"/>
      <c r="D184" s="28"/>
      <c r="E184" s="28"/>
      <c r="F184" s="28"/>
      <c r="G184" s="29"/>
      <c r="H184" s="30"/>
      <c r="I184" s="30"/>
      <c r="J184" s="28"/>
      <c r="K184" s="28"/>
    </row>
    <row r="185" customFormat="false" ht="15" hidden="false" customHeight="false" outlineLevel="0" collapsed="false">
      <c r="A185" s="26" t="str">
        <f aca="false">IF(C185&lt;&gt;"","G-"&amp;TEXT(ROW()-3,"000"),"")</f>
        <v/>
      </c>
      <c r="B185" s="31"/>
      <c r="C185" s="32"/>
      <c r="D185" s="32"/>
      <c r="E185" s="32"/>
      <c r="F185" s="32"/>
      <c r="G185" s="17"/>
      <c r="H185" s="33"/>
      <c r="I185" s="33"/>
      <c r="J185" s="32"/>
      <c r="K185" s="32"/>
    </row>
    <row r="186" customFormat="false" ht="15" hidden="false" customHeight="false" outlineLevel="0" collapsed="false">
      <c r="A186" s="26" t="str">
        <f aca="false">IF(C186&lt;&gt;"","G-"&amp;TEXT(ROW()-3,"000"),"")</f>
        <v/>
      </c>
      <c r="B186" s="27"/>
      <c r="C186" s="28"/>
      <c r="D186" s="28"/>
      <c r="E186" s="28"/>
      <c r="F186" s="28"/>
      <c r="G186" s="29"/>
      <c r="H186" s="30"/>
      <c r="I186" s="30"/>
      <c r="J186" s="28"/>
      <c r="K186" s="28"/>
    </row>
    <row r="187" customFormat="false" ht="15" hidden="false" customHeight="false" outlineLevel="0" collapsed="false">
      <c r="A187" s="26" t="str">
        <f aca="false">IF(C187&lt;&gt;"","G-"&amp;TEXT(ROW()-3,"000"),"")</f>
        <v/>
      </c>
      <c r="B187" s="31"/>
      <c r="C187" s="32"/>
      <c r="D187" s="32"/>
      <c r="E187" s="32"/>
      <c r="F187" s="32"/>
      <c r="G187" s="17"/>
      <c r="H187" s="33"/>
      <c r="I187" s="33"/>
      <c r="J187" s="32"/>
      <c r="K187" s="32"/>
    </row>
    <row r="188" customFormat="false" ht="15" hidden="false" customHeight="false" outlineLevel="0" collapsed="false">
      <c r="A188" s="26" t="str">
        <f aca="false">IF(C188&lt;&gt;"","G-"&amp;TEXT(ROW()-3,"000"),"")</f>
        <v/>
      </c>
      <c r="B188" s="27"/>
      <c r="C188" s="28"/>
      <c r="D188" s="28"/>
      <c r="E188" s="28"/>
      <c r="F188" s="28"/>
      <c r="G188" s="29"/>
      <c r="H188" s="30"/>
      <c r="I188" s="30"/>
      <c r="J188" s="28"/>
      <c r="K188" s="28"/>
    </row>
    <row r="189" customFormat="false" ht="15" hidden="false" customHeight="false" outlineLevel="0" collapsed="false">
      <c r="A189" s="26" t="str">
        <f aca="false">IF(C189&lt;&gt;"","G-"&amp;TEXT(ROW()-3,"000"),"")</f>
        <v/>
      </c>
      <c r="B189" s="31"/>
      <c r="C189" s="32"/>
      <c r="D189" s="32"/>
      <c r="E189" s="32"/>
      <c r="F189" s="32"/>
      <c r="G189" s="17"/>
      <c r="H189" s="33"/>
      <c r="I189" s="33"/>
      <c r="J189" s="32"/>
      <c r="K189" s="32"/>
    </row>
    <row r="190" customFormat="false" ht="15" hidden="false" customHeight="false" outlineLevel="0" collapsed="false">
      <c r="A190" s="26" t="str">
        <f aca="false">IF(C190&lt;&gt;"","G-"&amp;TEXT(ROW()-3,"000"),"")</f>
        <v/>
      </c>
      <c r="B190" s="27"/>
      <c r="C190" s="28"/>
      <c r="D190" s="28"/>
      <c r="E190" s="28"/>
      <c r="F190" s="28"/>
      <c r="G190" s="29"/>
      <c r="H190" s="30"/>
      <c r="I190" s="30"/>
      <c r="J190" s="28"/>
      <c r="K190" s="28"/>
    </row>
    <row r="191" customFormat="false" ht="15" hidden="false" customHeight="false" outlineLevel="0" collapsed="false">
      <c r="A191" s="26" t="str">
        <f aca="false">IF(C191&lt;&gt;"","G-"&amp;TEXT(ROW()-3,"000"),"")</f>
        <v/>
      </c>
      <c r="B191" s="31"/>
      <c r="C191" s="32"/>
      <c r="D191" s="32"/>
      <c r="E191" s="32"/>
      <c r="F191" s="32"/>
      <c r="G191" s="17"/>
      <c r="H191" s="33"/>
      <c r="I191" s="33"/>
      <c r="J191" s="32"/>
      <c r="K191" s="32"/>
    </row>
    <row r="192" customFormat="false" ht="15" hidden="false" customHeight="false" outlineLevel="0" collapsed="false">
      <c r="A192" s="26" t="str">
        <f aca="false">IF(C192&lt;&gt;"","G-"&amp;TEXT(ROW()-3,"000"),"")</f>
        <v/>
      </c>
      <c r="B192" s="27"/>
      <c r="C192" s="28"/>
      <c r="D192" s="28"/>
      <c r="E192" s="28"/>
      <c r="F192" s="28"/>
      <c r="G192" s="29"/>
      <c r="H192" s="30"/>
      <c r="I192" s="30"/>
      <c r="J192" s="28"/>
      <c r="K192" s="28"/>
    </row>
    <row r="193" customFormat="false" ht="15" hidden="false" customHeight="false" outlineLevel="0" collapsed="false">
      <c r="A193" s="26" t="str">
        <f aca="false">IF(C193&lt;&gt;"","G-"&amp;TEXT(ROW()-3,"000"),"")</f>
        <v/>
      </c>
      <c r="B193" s="31"/>
      <c r="C193" s="32"/>
      <c r="D193" s="32"/>
      <c r="E193" s="32"/>
      <c r="F193" s="32"/>
      <c r="G193" s="17"/>
      <c r="H193" s="33"/>
      <c r="I193" s="33"/>
      <c r="J193" s="32"/>
      <c r="K193" s="32"/>
    </row>
    <row r="194" customFormat="false" ht="15" hidden="false" customHeight="false" outlineLevel="0" collapsed="false">
      <c r="A194" s="26" t="str">
        <f aca="false">IF(C194&lt;&gt;"","G-"&amp;TEXT(ROW()-3,"000"),"")</f>
        <v/>
      </c>
      <c r="B194" s="27"/>
      <c r="C194" s="28"/>
      <c r="D194" s="28"/>
      <c r="E194" s="28"/>
      <c r="F194" s="28"/>
      <c r="G194" s="29"/>
      <c r="H194" s="30"/>
      <c r="I194" s="30"/>
      <c r="J194" s="28"/>
      <c r="K194" s="28"/>
    </row>
    <row r="195" customFormat="false" ht="15" hidden="false" customHeight="false" outlineLevel="0" collapsed="false">
      <c r="A195" s="26" t="str">
        <f aca="false">IF(C195&lt;&gt;"","G-"&amp;TEXT(ROW()-3,"000"),"")</f>
        <v/>
      </c>
      <c r="B195" s="31"/>
      <c r="C195" s="32"/>
      <c r="D195" s="32"/>
      <c r="E195" s="32"/>
      <c r="F195" s="32"/>
      <c r="G195" s="17"/>
      <c r="H195" s="33"/>
      <c r="I195" s="33"/>
      <c r="J195" s="32"/>
      <c r="K195" s="32"/>
    </row>
    <row r="196" customFormat="false" ht="15" hidden="false" customHeight="false" outlineLevel="0" collapsed="false">
      <c r="A196" s="26" t="str">
        <f aca="false">IF(C196&lt;&gt;"","G-"&amp;TEXT(ROW()-3,"000"),"")</f>
        <v/>
      </c>
      <c r="B196" s="27"/>
      <c r="C196" s="28"/>
      <c r="D196" s="28"/>
      <c r="E196" s="28"/>
      <c r="F196" s="28"/>
      <c r="G196" s="29"/>
      <c r="H196" s="30"/>
      <c r="I196" s="30"/>
      <c r="J196" s="28"/>
      <c r="K196" s="28"/>
    </row>
    <row r="197" customFormat="false" ht="15" hidden="false" customHeight="false" outlineLevel="0" collapsed="false">
      <c r="A197" s="26" t="str">
        <f aca="false">IF(C197&lt;&gt;"","G-"&amp;TEXT(ROW()-3,"000"),"")</f>
        <v/>
      </c>
      <c r="B197" s="31"/>
      <c r="C197" s="32"/>
      <c r="D197" s="32"/>
      <c r="E197" s="32"/>
      <c r="F197" s="32"/>
      <c r="G197" s="17"/>
      <c r="H197" s="33"/>
      <c r="I197" s="33"/>
      <c r="J197" s="32"/>
      <c r="K197" s="32"/>
    </row>
    <row r="198" customFormat="false" ht="15" hidden="false" customHeight="false" outlineLevel="0" collapsed="false">
      <c r="A198" s="26" t="str">
        <f aca="false">IF(C198&lt;&gt;"","G-"&amp;TEXT(ROW()-3,"000"),"")</f>
        <v/>
      </c>
      <c r="B198" s="27"/>
      <c r="C198" s="28"/>
      <c r="D198" s="28"/>
      <c r="E198" s="28"/>
      <c r="F198" s="28"/>
      <c r="G198" s="29"/>
      <c r="H198" s="30"/>
      <c r="I198" s="30"/>
      <c r="J198" s="28"/>
      <c r="K198" s="28"/>
    </row>
    <row r="199" customFormat="false" ht="15" hidden="false" customHeight="false" outlineLevel="0" collapsed="false">
      <c r="A199" s="26" t="str">
        <f aca="false">IF(C199&lt;&gt;"","G-"&amp;TEXT(ROW()-3,"000"),"")</f>
        <v/>
      </c>
      <c r="B199" s="31"/>
      <c r="C199" s="32"/>
      <c r="D199" s="32"/>
      <c r="E199" s="32"/>
      <c r="F199" s="32"/>
      <c r="G199" s="17"/>
      <c r="H199" s="33"/>
      <c r="I199" s="33"/>
      <c r="J199" s="32"/>
      <c r="K199" s="32"/>
    </row>
    <row r="200" customFormat="false" ht="15" hidden="false" customHeight="false" outlineLevel="0" collapsed="false">
      <c r="A200" s="26" t="str">
        <f aca="false">IF(C200&lt;&gt;"","G-"&amp;TEXT(ROW()-3,"000"),"")</f>
        <v/>
      </c>
      <c r="B200" s="27"/>
      <c r="C200" s="28"/>
      <c r="D200" s="28"/>
      <c r="E200" s="28"/>
      <c r="F200" s="28"/>
      <c r="G200" s="29"/>
      <c r="H200" s="30"/>
      <c r="I200" s="30"/>
      <c r="J200" s="28"/>
      <c r="K200" s="28"/>
    </row>
    <row r="201" customFormat="false" ht="15" hidden="false" customHeight="false" outlineLevel="0" collapsed="false">
      <c r="A201" s="26" t="str">
        <f aca="false">IF(C201&lt;&gt;"","G-"&amp;TEXT(ROW()-3,"000"),"")</f>
        <v/>
      </c>
      <c r="B201" s="31"/>
      <c r="C201" s="32"/>
      <c r="D201" s="32"/>
      <c r="E201" s="32"/>
      <c r="F201" s="32"/>
      <c r="G201" s="17"/>
      <c r="H201" s="33"/>
      <c r="I201" s="33"/>
      <c r="J201" s="32"/>
      <c r="K201" s="32"/>
    </row>
    <row r="202" customFormat="false" ht="15" hidden="false" customHeight="false" outlineLevel="0" collapsed="false">
      <c r="A202" s="26" t="str">
        <f aca="false">IF(C202&lt;&gt;"","G-"&amp;TEXT(ROW()-3,"000"),"")</f>
        <v/>
      </c>
      <c r="B202" s="27"/>
      <c r="C202" s="28"/>
      <c r="D202" s="28"/>
      <c r="E202" s="28"/>
      <c r="F202" s="28"/>
      <c r="G202" s="29"/>
      <c r="H202" s="30"/>
      <c r="I202" s="30"/>
      <c r="J202" s="28"/>
      <c r="K202" s="28"/>
    </row>
    <row r="203" customFormat="false" ht="15" hidden="false" customHeight="false" outlineLevel="0" collapsed="false">
      <c r="A203" s="26" t="str">
        <f aca="false">IF(C203&lt;&gt;"","G-"&amp;TEXT(ROW()-3,"000"),"")</f>
        <v/>
      </c>
      <c r="B203" s="31"/>
      <c r="C203" s="32"/>
      <c r="D203" s="32"/>
      <c r="E203" s="32"/>
      <c r="F203" s="32"/>
      <c r="G203" s="17"/>
      <c r="H203" s="33"/>
      <c r="I203" s="33"/>
      <c r="J203" s="32"/>
      <c r="K203" s="32"/>
    </row>
  </sheetData>
  <mergeCells count="2">
    <mergeCell ref="A1:P1"/>
    <mergeCell ref="A2:P2"/>
  </mergeCells>
  <conditionalFormatting sqref="I4:I203">
    <cfRule type="cellIs" priority="2" operator="equal" aboveAverage="0" equalAverage="0" bottom="0" percent="0" rank="0" text="" dxfId="0">
      <formula>"Tahsil Edildi"</formula>
    </cfRule>
    <cfRule type="cellIs" priority="3" operator="equal" aboveAverage="0" equalAverage="0" bottom="0" percent="0" rank="0" text="" dxfId="1">
      <formula>"Bekliyor"</formula>
    </cfRule>
  </conditionalFormatting>
  <dataValidations count="4">
    <dataValidation allowBlank="true" errorStyle="stop" operator="between" showDropDown="false" showErrorMessage="false" showInputMessage="false" sqref="E4:E203" type="list">
      <formula1>GelirKat</formula1>
      <formula2>0</formula2>
    </dataValidation>
    <dataValidation allowBlank="true" errorStyle="stop" operator="between" showDropDown="false" showErrorMessage="false" showInputMessage="false" sqref="H4:H203" type="list">
      <formula1>ParaBirim</formula1>
      <formula2>0</formula2>
    </dataValidation>
    <dataValidation allowBlank="true" errorStyle="stop" operator="between" showDropDown="false" showErrorMessage="false" showInputMessage="false" sqref="I4:I203" type="list">
      <formula1>OdemeDurumuGelir</formula1>
      <formula2>0</formula2>
    </dataValidation>
    <dataValidation allowBlank="true" errorStyle="stop" operator="between" showDropDown="false" showErrorMessage="false" showInputMessage="false" sqref="C4:C203" type="list">
      <formula1>Aylar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6"/>
  </cols>
  <sheetData>
    <row r="1" customFormat="false" ht="15" hidden="false" customHeight="false" outlineLevel="0" collapsed="false">
      <c r="A1" s="35" t="s">
        <v>55</v>
      </c>
      <c r="B1" s="35" t="s">
        <v>56</v>
      </c>
      <c r="C1" s="35" t="s">
        <v>45</v>
      </c>
      <c r="D1" s="35" t="s">
        <v>57</v>
      </c>
      <c r="E1" s="35" t="s">
        <v>58</v>
      </c>
      <c r="F1" s="35" t="s">
        <v>47</v>
      </c>
      <c r="G1" s="35" t="s">
        <v>42</v>
      </c>
      <c r="H1" s="35" t="s">
        <v>59</v>
      </c>
    </row>
    <row r="2" customFormat="false" ht="15" hidden="false" customHeight="false" outlineLevel="0" collapsed="false">
      <c r="A2" s="36" t="s">
        <v>24</v>
      </c>
      <c r="B2" s="36" t="s">
        <v>60</v>
      </c>
      <c r="C2" s="36" t="s">
        <v>61</v>
      </c>
      <c r="D2" s="36" t="s">
        <v>16</v>
      </c>
      <c r="E2" s="36" t="s">
        <v>62</v>
      </c>
      <c r="F2" s="36" t="s">
        <v>63</v>
      </c>
      <c r="G2" s="36" t="s">
        <v>17</v>
      </c>
      <c r="H2" s="36" t="s">
        <v>64</v>
      </c>
    </row>
    <row r="3" customFormat="false" ht="15" hidden="false" customHeight="false" outlineLevel="0" collapsed="false">
      <c r="A3" s="36" t="s">
        <v>25</v>
      </c>
      <c r="B3" s="36" t="s">
        <v>65</v>
      </c>
      <c r="C3" s="36" t="s">
        <v>66</v>
      </c>
      <c r="D3" s="36" t="s">
        <v>67</v>
      </c>
      <c r="E3" s="36" t="s">
        <v>67</v>
      </c>
      <c r="F3" s="36" t="s">
        <v>68</v>
      </c>
      <c r="G3" s="36" t="s">
        <v>18</v>
      </c>
      <c r="H3" s="36" t="s">
        <v>69</v>
      </c>
    </row>
    <row r="4" customFormat="false" ht="15" hidden="false" customHeight="false" outlineLevel="0" collapsed="false">
      <c r="A4" s="36" t="s">
        <v>26</v>
      </c>
      <c r="B4" s="36" t="s">
        <v>70</v>
      </c>
      <c r="C4" s="36" t="s">
        <v>71</v>
      </c>
      <c r="D4" s="36" t="s">
        <v>72</v>
      </c>
      <c r="E4" s="36" t="s">
        <v>72</v>
      </c>
      <c r="F4" s="36" t="s">
        <v>73</v>
      </c>
      <c r="G4" s="36" t="s">
        <v>19</v>
      </c>
      <c r="H4" s="36" t="s">
        <v>74</v>
      </c>
    </row>
    <row r="5" customFormat="false" ht="15" hidden="false" customHeight="false" outlineLevel="0" collapsed="false">
      <c r="A5" s="36" t="s">
        <v>27</v>
      </c>
      <c r="B5" s="36" t="s">
        <v>75</v>
      </c>
      <c r="C5" s="36" t="s">
        <v>76</v>
      </c>
      <c r="F5" s="36" t="s">
        <v>77</v>
      </c>
      <c r="H5" s="36" t="s">
        <v>78</v>
      </c>
    </row>
    <row r="6" customFormat="false" ht="15" hidden="false" customHeight="false" outlineLevel="0" collapsed="false">
      <c r="A6" s="36" t="s">
        <v>28</v>
      </c>
      <c r="B6" s="36" t="s">
        <v>79</v>
      </c>
      <c r="C6" s="36" t="s">
        <v>80</v>
      </c>
      <c r="F6" s="36" t="s">
        <v>81</v>
      </c>
      <c r="H6" s="36" t="s">
        <v>82</v>
      </c>
    </row>
    <row r="7" customFormat="false" ht="15" hidden="false" customHeight="false" outlineLevel="0" collapsed="false">
      <c r="A7" s="36" t="s">
        <v>29</v>
      </c>
      <c r="B7" s="36" t="s">
        <v>83</v>
      </c>
      <c r="F7" s="36" t="s">
        <v>84</v>
      </c>
      <c r="H7" s="36" t="s">
        <v>85</v>
      </c>
    </row>
    <row r="8" customFormat="false" ht="15" hidden="false" customHeight="false" outlineLevel="0" collapsed="false">
      <c r="A8" s="36" t="s">
        <v>30</v>
      </c>
      <c r="F8" s="36" t="s">
        <v>86</v>
      </c>
      <c r="H8" s="36" t="s">
        <v>87</v>
      </c>
    </row>
    <row r="9" customFormat="false" ht="15" hidden="false" customHeight="false" outlineLevel="0" collapsed="false">
      <c r="A9" s="36" t="s">
        <v>31</v>
      </c>
      <c r="H9" s="36" t="s">
        <v>88</v>
      </c>
    </row>
    <row r="10" customFormat="false" ht="15" hidden="false" customHeight="false" outlineLevel="0" collapsed="false">
      <c r="A10" s="36" t="s">
        <v>32</v>
      </c>
      <c r="H10" s="36" t="s">
        <v>89</v>
      </c>
    </row>
    <row r="11" customFormat="false" ht="15" hidden="false" customHeight="false" outlineLevel="0" collapsed="false">
      <c r="A11" s="36" t="s">
        <v>33</v>
      </c>
      <c r="H11" s="36" t="s">
        <v>90</v>
      </c>
    </row>
    <row r="12" customFormat="false" ht="15" hidden="false" customHeight="false" outlineLevel="0" collapsed="false">
      <c r="A12" s="36" t="s">
        <v>34</v>
      </c>
      <c r="H12" s="36" t="s">
        <v>91</v>
      </c>
    </row>
    <row r="13" customFormat="false" ht="15" hidden="false" customHeight="false" outlineLevel="0" collapsed="false">
      <c r="A13" s="36" t="s">
        <v>35</v>
      </c>
      <c r="H13" s="36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3" min="2" style="0" width="12"/>
    <col collapsed="false" customWidth="true" hidden="false" outlineLevel="0" max="14" min="14" style="0" width="14"/>
  </cols>
  <sheetData>
    <row r="1" customFormat="false" ht="43.5" hidden="false" customHeight="true" outlineLevel="0" collapsed="false">
      <c r="A1" s="24" t="s">
        <v>93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customFormat="false" ht="21.75" hidden="false" customHeight="true" outlineLevel="0" collapsed="false">
      <c r="A2" s="25" t="s">
        <v>94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customFormat="false" ht="27.75" hidden="false" customHeight="true" outlineLevel="0" collapsed="false">
      <c r="A3" s="37" t="s">
        <v>95</v>
      </c>
      <c r="B3" s="38" t="s">
        <v>64</v>
      </c>
      <c r="C3" s="38" t="s">
        <v>69</v>
      </c>
      <c r="D3" s="38" t="s">
        <v>74</v>
      </c>
      <c r="E3" s="38" t="s">
        <v>78</v>
      </c>
      <c r="F3" s="38" t="s">
        <v>82</v>
      </c>
      <c r="G3" s="38" t="s">
        <v>85</v>
      </c>
      <c r="H3" s="38" t="s">
        <v>87</v>
      </c>
      <c r="I3" s="38" t="s">
        <v>88</v>
      </c>
      <c r="J3" s="38" t="s">
        <v>89</v>
      </c>
      <c r="K3" s="38" t="s">
        <v>90</v>
      </c>
      <c r="L3" s="38" t="s">
        <v>91</v>
      </c>
      <c r="M3" s="38" t="s">
        <v>92</v>
      </c>
      <c r="N3" s="39" t="s">
        <v>96</v>
      </c>
    </row>
    <row r="4" customFormat="false" ht="24" hidden="false" customHeight="true" outlineLevel="0" collapsed="false">
      <c r="A4" s="40" t="s">
        <v>97</v>
      </c>
      <c r="B4" s="41" t="n">
        <f aca="false">IFERROR(SUMPRODUCT((Gelirler!C$4:C$203="Ocak")*(Gelirler!H$4:H$203="TRY")*Gelirler!G$4:G$203),0)</f>
        <v>0</v>
      </c>
      <c r="C4" s="41" t="n">
        <f aca="false">IFERROR(SUMPRODUCT((Gelirler!C$4:C$203="Şubat")*(Gelirler!H$4:H$203="TRY")*Gelirler!G$4:G$203),0)</f>
        <v>0</v>
      </c>
      <c r="D4" s="41" t="n">
        <f aca="false">IFERROR(SUMPRODUCT((Gelirler!C$4:C$203="Mart")*(Gelirler!H$4:H$203="TRY")*Gelirler!G$4:G$203),0)</f>
        <v>0</v>
      </c>
      <c r="E4" s="41" t="n">
        <f aca="false">IFERROR(SUMPRODUCT((Gelirler!C$4:C$203="Nisan")*(Gelirler!H$4:H$203="TRY")*Gelirler!G$4:G$203),0)</f>
        <v>0</v>
      </c>
      <c r="F4" s="41" t="n">
        <f aca="false">IFERROR(SUMPRODUCT((Gelirler!C$4:C$203="Mayıs")*(Gelirler!H$4:H$203="TRY")*Gelirler!G$4:G$203),0)</f>
        <v>0</v>
      </c>
      <c r="G4" s="41" t="n">
        <f aca="false">IFERROR(SUMPRODUCT((Gelirler!C$4:C$203="Haziran")*(Gelirler!H$4:H$203="TRY")*Gelirler!G$4:G$203),0)</f>
        <v>0</v>
      </c>
      <c r="H4" s="41" t="n">
        <f aca="false">IFERROR(SUMPRODUCT((Gelirler!C$4:C$203="Temmuz")*(Gelirler!H$4:H$203="TRY")*Gelirler!G$4:G$203),0)</f>
        <v>0</v>
      </c>
      <c r="I4" s="41" t="n">
        <f aca="false">IFERROR(SUMPRODUCT((Gelirler!C$4:C$203="Ağustos")*(Gelirler!H$4:H$203="TRY")*Gelirler!G$4:G$203),0)</f>
        <v>0</v>
      </c>
      <c r="J4" s="41" t="n">
        <f aca="false">IFERROR(SUMPRODUCT((Gelirler!C$4:C$203="Eylül")*(Gelirler!H$4:H$203="TRY")*Gelirler!G$4:G$203),0)</f>
        <v>0</v>
      </c>
      <c r="K4" s="41" t="n">
        <f aca="false">IFERROR(SUMPRODUCT((Gelirler!C$4:C$203="Ekim")*(Gelirler!H$4:H$203="TRY")*Gelirler!G$4:G$203),0)</f>
        <v>0</v>
      </c>
      <c r="L4" s="41" t="n">
        <f aca="false">IFERROR(SUMPRODUCT((Gelirler!C$4:C$203="Kasım")*(Gelirler!H$4:H$203="TRY")*Gelirler!G$4:G$203),0)</f>
        <v>0</v>
      </c>
      <c r="M4" s="41" t="n">
        <f aca="false">IFERROR(SUMPRODUCT((Gelirler!C$4:C$203="Aralık")*(Gelirler!H$4:H$203="TRY")*Gelirler!G$4:G$203),0)</f>
        <v>0</v>
      </c>
      <c r="N4" s="42" t="n">
        <f aca="false">SUM(B4:M4)</f>
        <v>0</v>
      </c>
    </row>
    <row r="5" customFormat="false" ht="24" hidden="false" customHeight="true" outlineLevel="0" collapsed="false">
      <c r="A5" s="43" t="s">
        <v>98</v>
      </c>
      <c r="B5" s="44" t="n">
        <f aca="false">IFERROR(SUMPRODUCT((Giderler!C$4:C$203="Ocak")*(Giderler!H$4:H$203="TRY")*Giderler!G$4:G$203),0)</f>
        <v>0</v>
      </c>
      <c r="C5" s="44" t="n">
        <f aca="false">IFERROR(SUMPRODUCT((Giderler!C$4:C$203="Şubat")*(Giderler!H$4:H$203="TRY")*Giderler!G$4:G$203),0)</f>
        <v>0</v>
      </c>
      <c r="D5" s="44" t="n">
        <f aca="false">IFERROR(SUMPRODUCT((Giderler!C$4:C$203="Mart")*(Giderler!H$4:H$203="TRY")*Giderler!G$4:G$203),0)</f>
        <v>0</v>
      </c>
      <c r="E5" s="44" t="n">
        <f aca="false">IFERROR(SUMPRODUCT((Giderler!C$4:C$203="Nisan")*(Giderler!H$4:H$203="TRY")*Giderler!G$4:G$203),0)</f>
        <v>0</v>
      </c>
      <c r="F5" s="44" t="n">
        <f aca="false">IFERROR(SUMPRODUCT((Giderler!C$4:C$203="Mayıs")*(Giderler!H$4:H$203="TRY")*Giderler!G$4:G$203),0)</f>
        <v>0</v>
      </c>
      <c r="G5" s="44" t="n">
        <f aca="false">IFERROR(SUMPRODUCT((Giderler!C$4:C$203="Haziran")*(Giderler!H$4:H$203="TRY")*Giderler!G$4:G$203),0)</f>
        <v>0</v>
      </c>
      <c r="H5" s="44" t="n">
        <f aca="false">IFERROR(SUMPRODUCT((Giderler!C$4:C$203="Temmuz")*(Giderler!H$4:H$203="TRY")*Giderler!G$4:G$203),0)</f>
        <v>0</v>
      </c>
      <c r="I5" s="44" t="n">
        <f aca="false">IFERROR(SUMPRODUCT((Giderler!C$4:C$203="Ağustos")*(Giderler!H$4:H$203="TRY")*Giderler!G$4:G$203),0)</f>
        <v>0</v>
      </c>
      <c r="J5" s="44" t="n">
        <f aca="false">IFERROR(SUMPRODUCT((Giderler!C$4:C$203="Eylül")*(Giderler!H$4:H$203="TRY")*Giderler!G$4:G$203),0)</f>
        <v>0</v>
      </c>
      <c r="K5" s="44" t="n">
        <f aca="false">IFERROR(SUMPRODUCT((Giderler!C$4:C$203="Ekim")*(Giderler!H$4:H$203="TRY")*Giderler!G$4:G$203),0)</f>
        <v>0</v>
      </c>
      <c r="L5" s="44" t="n">
        <f aca="false">IFERROR(SUMPRODUCT((Giderler!C$4:C$203="Kasım")*(Giderler!H$4:H$203="TRY")*Giderler!G$4:G$203),0)</f>
        <v>0</v>
      </c>
      <c r="M5" s="44" t="n">
        <f aca="false">IFERROR(SUMPRODUCT((Giderler!C$4:C$203="Aralık")*(Giderler!H$4:H$203="TRY")*Giderler!G$4:G$203),0)</f>
        <v>0</v>
      </c>
      <c r="N5" s="42" t="n">
        <f aca="false">SUM(B5:M5)</f>
        <v>0</v>
      </c>
    </row>
    <row r="6" customFormat="false" ht="24" hidden="false" customHeight="true" outlineLevel="0" collapsed="false">
      <c r="A6" s="45" t="s">
        <v>99</v>
      </c>
      <c r="B6" s="46" t="n">
        <f aca="false">B4-B5</f>
        <v>0</v>
      </c>
      <c r="C6" s="46" t="n">
        <f aca="false">C4-C5</f>
        <v>0</v>
      </c>
      <c r="D6" s="46" t="n">
        <f aca="false">D4-D5</f>
        <v>0</v>
      </c>
      <c r="E6" s="46" t="n">
        <f aca="false">E4-E5</f>
        <v>0</v>
      </c>
      <c r="F6" s="46" t="n">
        <f aca="false">F4-F5</f>
        <v>0</v>
      </c>
      <c r="G6" s="46" t="n">
        <f aca="false">G4-G5</f>
        <v>0</v>
      </c>
      <c r="H6" s="46" t="n">
        <f aca="false">H4-H5</f>
        <v>0</v>
      </c>
      <c r="I6" s="46" t="n">
        <f aca="false">I4-I5</f>
        <v>0</v>
      </c>
      <c r="J6" s="46" t="n">
        <f aca="false">J4-J5</f>
        <v>0</v>
      </c>
      <c r="K6" s="46" t="n">
        <f aca="false">K4-K5</f>
        <v>0</v>
      </c>
      <c r="L6" s="46" t="n">
        <f aca="false">L4-L5</f>
        <v>0</v>
      </c>
      <c r="M6" s="46" t="n">
        <f aca="false">M4-M5</f>
        <v>0</v>
      </c>
      <c r="N6" s="42" t="n">
        <f aca="false">SUM(B6:M6)</f>
        <v>0</v>
      </c>
    </row>
    <row r="7" customFormat="false" ht="24" hidden="false" customHeight="true" outlineLevel="0" collapsed="false">
      <c r="A7" s="32"/>
    </row>
    <row r="8" customFormat="false" ht="24" hidden="false" customHeight="true" outlineLevel="0" collapsed="false">
      <c r="A8" s="47" t="s">
        <v>100</v>
      </c>
      <c r="B8" s="48" t="n">
        <f aca="false">IFERROR(SUMPRODUCT((Giderler!C$4:C$203="Ocak")*(Giderler!D$4:D$203="Burak")*(Giderler!H$4:H$203="TRY")*Giderler!G$4:G$203),0)</f>
        <v>0</v>
      </c>
      <c r="C8" s="48" t="n">
        <f aca="false">IFERROR(SUMPRODUCT((Giderler!C$4:C$203="Şubat")*(Giderler!D$4:D$203="Burak")*(Giderler!H$4:H$203="TRY")*Giderler!G$4:G$203),0)</f>
        <v>0</v>
      </c>
      <c r="D8" s="48" t="n">
        <f aca="false">IFERROR(SUMPRODUCT((Giderler!C$4:C$203="Mart")*(Giderler!D$4:D$203="Burak")*(Giderler!H$4:H$203="TRY")*Giderler!G$4:G$203),0)</f>
        <v>0</v>
      </c>
      <c r="E8" s="48" t="n">
        <f aca="false">IFERROR(SUMPRODUCT((Giderler!C$4:C$203="Nisan")*(Giderler!D$4:D$203="Burak")*(Giderler!H$4:H$203="TRY")*Giderler!G$4:G$203),0)</f>
        <v>0</v>
      </c>
      <c r="F8" s="48" t="n">
        <f aca="false">IFERROR(SUMPRODUCT((Giderler!C$4:C$203="Mayıs")*(Giderler!D$4:D$203="Burak")*(Giderler!H$4:H$203="TRY")*Giderler!G$4:G$203),0)</f>
        <v>0</v>
      </c>
      <c r="G8" s="48" t="n">
        <f aca="false">IFERROR(SUMPRODUCT((Giderler!C$4:C$203="Haziran")*(Giderler!D$4:D$203="Burak")*(Giderler!H$4:H$203="TRY")*Giderler!G$4:G$203),0)</f>
        <v>0</v>
      </c>
      <c r="H8" s="48" t="n">
        <f aca="false">IFERROR(SUMPRODUCT((Giderler!C$4:C$203="Temmuz")*(Giderler!D$4:D$203="Burak")*(Giderler!H$4:H$203="TRY")*Giderler!G$4:G$203),0)</f>
        <v>0</v>
      </c>
      <c r="I8" s="48" t="n">
        <f aca="false">IFERROR(SUMPRODUCT((Giderler!C$4:C$203="Ağustos")*(Giderler!D$4:D$203="Burak")*(Giderler!H$4:H$203="TRY")*Giderler!G$4:G$203),0)</f>
        <v>0</v>
      </c>
      <c r="J8" s="48" t="n">
        <f aca="false">IFERROR(SUMPRODUCT((Giderler!C$4:C$203="Eylül")*(Giderler!D$4:D$203="Burak")*(Giderler!H$4:H$203="TRY")*Giderler!G$4:G$203),0)</f>
        <v>0</v>
      </c>
      <c r="K8" s="48" t="n">
        <f aca="false">IFERROR(SUMPRODUCT((Giderler!C$4:C$203="Ekim")*(Giderler!D$4:D$203="Burak")*(Giderler!H$4:H$203="TRY")*Giderler!G$4:G$203),0)</f>
        <v>0</v>
      </c>
      <c r="L8" s="48" t="n">
        <f aca="false">IFERROR(SUMPRODUCT((Giderler!C$4:C$203="Kasım")*(Giderler!D$4:D$203="Burak")*(Giderler!H$4:H$203="TRY")*Giderler!G$4:G$203),0)</f>
        <v>0</v>
      </c>
      <c r="M8" s="48" t="n">
        <f aca="false">IFERROR(SUMPRODUCT((Giderler!C$4:C$203="Aralık")*(Giderler!D$4:D$203="Burak")*(Giderler!H$4:H$203="TRY")*Giderler!G$4:G$203),0)</f>
        <v>0</v>
      </c>
      <c r="N8" s="42" t="n">
        <f aca="false">SUM(B8:M8)</f>
        <v>0</v>
      </c>
    </row>
    <row r="9" customFormat="false" ht="24" hidden="false" customHeight="true" outlineLevel="0" collapsed="false">
      <c r="A9" s="47" t="s">
        <v>101</v>
      </c>
      <c r="B9" s="49" t="n">
        <f aca="false">IFERROR(SUMPRODUCT((Giderler!C$4:C$203="Ocak")*(Giderler!D$4:D$203="Barış")*(Giderler!H$4:H$203="TRY")*Giderler!G$4:G$203),0)</f>
        <v>0</v>
      </c>
      <c r="C9" s="49" t="n">
        <f aca="false">IFERROR(SUMPRODUCT((Giderler!C$4:C$203="Şubat")*(Giderler!D$4:D$203="Barış")*(Giderler!H$4:H$203="TRY")*Giderler!G$4:G$203),0)</f>
        <v>0</v>
      </c>
      <c r="D9" s="49" t="n">
        <f aca="false">IFERROR(SUMPRODUCT((Giderler!C$4:C$203="Mart")*(Giderler!D$4:D$203="Barış")*(Giderler!H$4:H$203="TRY")*Giderler!G$4:G$203),0)</f>
        <v>0</v>
      </c>
      <c r="E9" s="49" t="n">
        <f aca="false">IFERROR(SUMPRODUCT((Giderler!C$4:C$203="Nisan")*(Giderler!D$4:D$203="Barış")*(Giderler!H$4:H$203="TRY")*Giderler!G$4:G$203),0)</f>
        <v>0</v>
      </c>
      <c r="F9" s="49" t="n">
        <f aca="false">IFERROR(SUMPRODUCT((Giderler!C$4:C$203="Mayıs")*(Giderler!D$4:D$203="Barış")*(Giderler!H$4:H$203="TRY")*Giderler!G$4:G$203),0)</f>
        <v>0</v>
      </c>
      <c r="G9" s="49" t="n">
        <f aca="false">IFERROR(SUMPRODUCT((Giderler!C$4:C$203="Haziran")*(Giderler!D$4:D$203="Barış")*(Giderler!H$4:H$203="TRY")*Giderler!G$4:G$203),0)</f>
        <v>0</v>
      </c>
      <c r="H9" s="49" t="n">
        <f aca="false">IFERROR(SUMPRODUCT((Giderler!C$4:C$203="Temmuz")*(Giderler!D$4:D$203="Barış")*(Giderler!H$4:H$203="TRY")*Giderler!G$4:G$203),0)</f>
        <v>0</v>
      </c>
      <c r="I9" s="49" t="n">
        <f aca="false">IFERROR(SUMPRODUCT((Giderler!C$4:C$203="Ağustos")*(Giderler!D$4:D$203="Barış")*(Giderler!H$4:H$203="TRY")*Giderler!G$4:G$203),0)</f>
        <v>0</v>
      </c>
      <c r="J9" s="49" t="n">
        <f aca="false">IFERROR(SUMPRODUCT((Giderler!C$4:C$203="Eylül")*(Giderler!D$4:D$203="Barış")*(Giderler!H$4:H$203="TRY")*Giderler!G$4:G$203),0)</f>
        <v>0</v>
      </c>
      <c r="K9" s="49" t="n">
        <f aca="false">IFERROR(SUMPRODUCT((Giderler!C$4:C$203="Ekim")*(Giderler!D$4:D$203="Barış")*(Giderler!H$4:H$203="TRY")*Giderler!G$4:G$203),0)</f>
        <v>0</v>
      </c>
      <c r="L9" s="49" t="n">
        <f aca="false">IFERROR(SUMPRODUCT((Giderler!C$4:C$203="Kasım")*(Giderler!D$4:D$203="Barış")*(Giderler!H$4:H$203="TRY")*Giderler!G$4:G$203),0)</f>
        <v>0</v>
      </c>
      <c r="M9" s="49" t="n">
        <f aca="false">IFERROR(SUMPRODUCT((Giderler!C$4:C$203="Aralık")*(Giderler!D$4:D$203="Barış")*(Giderler!H$4:H$203="TRY")*Giderler!G$4:G$203),0)</f>
        <v>0</v>
      </c>
      <c r="N9" s="42" t="n">
        <f aca="false">SUM(B9:M9)</f>
        <v>0</v>
      </c>
    </row>
    <row r="10" customFormat="false" ht="24" hidden="false" customHeight="true" outlineLevel="0" collapsed="false">
      <c r="A10" s="47" t="s">
        <v>102</v>
      </c>
      <c r="B10" s="48" t="n">
        <f aca="false">IFERROR(SUMPRODUCT((Giderler!C$4:C$203="Ocak")*(Giderler!D$4:D$203="Ortak")*(Giderler!H$4:H$203="TRY")*Giderler!G$4:G$203),0)</f>
        <v>0</v>
      </c>
      <c r="C10" s="48" t="n">
        <f aca="false">IFERROR(SUMPRODUCT((Giderler!C$4:C$203="Şubat")*(Giderler!D$4:D$203="Ortak")*(Giderler!H$4:H$203="TRY")*Giderler!G$4:G$203),0)</f>
        <v>0</v>
      </c>
      <c r="D10" s="48" t="n">
        <f aca="false">IFERROR(SUMPRODUCT((Giderler!C$4:C$203="Mart")*(Giderler!D$4:D$203="Ortak")*(Giderler!H$4:H$203="TRY")*Giderler!G$4:G$203),0)</f>
        <v>0</v>
      </c>
      <c r="E10" s="48" t="n">
        <f aca="false">IFERROR(SUMPRODUCT((Giderler!C$4:C$203="Nisan")*(Giderler!D$4:D$203="Ortak")*(Giderler!H$4:H$203="TRY")*Giderler!G$4:G$203),0)</f>
        <v>0</v>
      </c>
      <c r="F10" s="48" t="n">
        <f aca="false">IFERROR(SUMPRODUCT((Giderler!C$4:C$203="Mayıs")*(Giderler!D$4:D$203="Ortak")*(Giderler!H$4:H$203="TRY")*Giderler!G$4:G$203),0)</f>
        <v>0</v>
      </c>
      <c r="G10" s="48" t="n">
        <f aca="false">IFERROR(SUMPRODUCT((Giderler!C$4:C$203="Haziran")*(Giderler!D$4:D$203="Ortak")*(Giderler!H$4:H$203="TRY")*Giderler!G$4:G$203),0)</f>
        <v>0</v>
      </c>
      <c r="H10" s="48" t="n">
        <f aca="false">IFERROR(SUMPRODUCT((Giderler!C$4:C$203="Temmuz")*(Giderler!D$4:D$203="Ortak")*(Giderler!H$4:H$203="TRY")*Giderler!G$4:G$203),0)</f>
        <v>0</v>
      </c>
      <c r="I10" s="48" t="n">
        <f aca="false">IFERROR(SUMPRODUCT((Giderler!C$4:C$203="Ağustos")*(Giderler!D$4:D$203="Ortak")*(Giderler!H$4:H$203="TRY")*Giderler!G$4:G$203),0)</f>
        <v>0</v>
      </c>
      <c r="J10" s="48" t="n">
        <f aca="false">IFERROR(SUMPRODUCT((Giderler!C$4:C$203="Eylül")*(Giderler!D$4:D$203="Ortak")*(Giderler!H$4:H$203="TRY")*Giderler!G$4:G$203),0)</f>
        <v>0</v>
      </c>
      <c r="K10" s="48" t="n">
        <f aca="false">IFERROR(SUMPRODUCT((Giderler!C$4:C$203="Ekim")*(Giderler!D$4:D$203="Ortak")*(Giderler!H$4:H$203="TRY")*Giderler!G$4:G$203),0)</f>
        <v>0</v>
      </c>
      <c r="L10" s="48" t="n">
        <f aca="false">IFERROR(SUMPRODUCT((Giderler!C$4:C$203="Kasım")*(Giderler!D$4:D$203="Ortak")*(Giderler!H$4:H$203="TRY")*Giderler!G$4:G$203),0)</f>
        <v>0</v>
      </c>
      <c r="M10" s="48" t="n">
        <f aca="false">IFERROR(SUMPRODUCT((Giderler!C$4:C$203="Aralık")*(Giderler!D$4:D$203="Ortak")*(Giderler!H$4:H$203="TRY")*Giderler!G$4:G$203),0)</f>
        <v>0</v>
      </c>
      <c r="N10" s="42" t="n">
        <f aca="false">SUM(B10:M10)</f>
        <v>0</v>
      </c>
    </row>
    <row r="11" customFormat="false" ht="24" hidden="false" customHeight="true" outlineLevel="0" collapsed="false">
      <c r="A11" s="32"/>
    </row>
    <row r="12" customFormat="false" ht="24" hidden="false" customHeight="true" outlineLevel="0" collapsed="false">
      <c r="A12" s="50" t="s">
        <v>103</v>
      </c>
      <c r="B12" s="48" t="n">
        <f aca="false">IFERROR(SUMPRODUCT((Giderler!C$4:C$203="Ocak")*(Giderler!I$4:I$203="Ödendi")*(Giderler!H$4:H$203="TRY")*Giderler!G$4:G$203),0)</f>
        <v>0</v>
      </c>
      <c r="C12" s="48" t="n">
        <f aca="false">IFERROR(SUMPRODUCT((Giderler!C$4:C$203="Şubat")*(Giderler!I$4:I$203="Ödendi")*(Giderler!H$4:H$203="TRY")*Giderler!G$4:G$203),0)</f>
        <v>0</v>
      </c>
      <c r="D12" s="48" t="n">
        <f aca="false">IFERROR(SUMPRODUCT((Giderler!C$4:C$203="Mart")*(Giderler!I$4:I$203="Ödendi")*(Giderler!H$4:H$203="TRY")*Giderler!G$4:G$203),0)</f>
        <v>0</v>
      </c>
      <c r="E12" s="48" t="n">
        <f aca="false">IFERROR(SUMPRODUCT((Giderler!C$4:C$203="Nisan")*(Giderler!I$4:I$203="Ödendi")*(Giderler!H$4:H$203="TRY")*Giderler!G$4:G$203),0)</f>
        <v>0</v>
      </c>
      <c r="F12" s="48" t="n">
        <f aca="false">IFERROR(SUMPRODUCT((Giderler!C$4:C$203="Mayıs")*(Giderler!I$4:I$203="Ödendi")*(Giderler!H$4:H$203="TRY")*Giderler!G$4:G$203),0)</f>
        <v>0</v>
      </c>
      <c r="G12" s="48" t="n">
        <f aca="false">IFERROR(SUMPRODUCT((Giderler!C$4:C$203="Haziran")*(Giderler!I$4:I$203="Ödendi")*(Giderler!H$4:H$203="TRY")*Giderler!G$4:G$203),0)</f>
        <v>0</v>
      </c>
      <c r="H12" s="48" t="n">
        <f aca="false">IFERROR(SUMPRODUCT((Giderler!C$4:C$203="Temmuz")*(Giderler!I$4:I$203="Ödendi")*(Giderler!H$4:H$203="TRY")*Giderler!G$4:G$203),0)</f>
        <v>0</v>
      </c>
      <c r="I12" s="48" t="n">
        <f aca="false">IFERROR(SUMPRODUCT((Giderler!C$4:C$203="Ağustos")*(Giderler!I$4:I$203="Ödendi")*(Giderler!H$4:H$203="TRY")*Giderler!G$4:G$203),0)</f>
        <v>0</v>
      </c>
      <c r="J12" s="48" t="n">
        <f aca="false">IFERROR(SUMPRODUCT((Giderler!C$4:C$203="Eylül")*(Giderler!I$4:I$203="Ödendi")*(Giderler!H$4:H$203="TRY")*Giderler!G$4:G$203),0)</f>
        <v>0</v>
      </c>
      <c r="K12" s="48" t="n">
        <f aca="false">IFERROR(SUMPRODUCT((Giderler!C$4:C$203="Ekim")*(Giderler!I$4:I$203="Ödendi")*(Giderler!H$4:H$203="TRY")*Giderler!G$4:G$203),0)</f>
        <v>0</v>
      </c>
      <c r="L12" s="48" t="n">
        <f aca="false">IFERROR(SUMPRODUCT((Giderler!C$4:C$203="Kasım")*(Giderler!I$4:I$203="Ödendi")*(Giderler!H$4:H$203="TRY")*Giderler!G$4:G$203),0)</f>
        <v>0</v>
      </c>
      <c r="M12" s="48" t="n">
        <f aca="false">IFERROR(SUMPRODUCT((Giderler!C$4:C$203="Aralık")*(Giderler!I$4:I$203="Ödendi")*(Giderler!H$4:H$203="TRY")*Giderler!G$4:G$203),0)</f>
        <v>0</v>
      </c>
      <c r="N12" s="42" t="n">
        <f aca="false">SUM(B12:M12)</f>
        <v>0</v>
      </c>
    </row>
    <row r="13" customFormat="false" ht="24" hidden="false" customHeight="true" outlineLevel="0" collapsed="false">
      <c r="A13" s="51" t="s">
        <v>104</v>
      </c>
      <c r="B13" s="49" t="n">
        <f aca="false">IFERROR(SUMPRODUCT((Giderler!C$4:C$203="Ocak")*(Giderler!I$4:I$203="Bekliyor")*(Giderler!H$4:H$203="TRY")*Giderler!G$4:G$203),0)</f>
        <v>0</v>
      </c>
      <c r="C13" s="49" t="n">
        <f aca="false">IFERROR(SUMPRODUCT((Giderler!C$4:C$203="Şubat")*(Giderler!I$4:I$203="Bekliyor")*(Giderler!H$4:H$203="TRY")*Giderler!G$4:G$203),0)</f>
        <v>0</v>
      </c>
      <c r="D13" s="49" t="n">
        <f aca="false">IFERROR(SUMPRODUCT((Giderler!C$4:C$203="Mart")*(Giderler!I$4:I$203="Bekliyor")*(Giderler!H$4:H$203="TRY")*Giderler!G$4:G$203),0)</f>
        <v>0</v>
      </c>
      <c r="E13" s="49" t="n">
        <f aca="false">IFERROR(SUMPRODUCT((Giderler!C$4:C$203="Nisan")*(Giderler!I$4:I$203="Bekliyor")*(Giderler!H$4:H$203="TRY")*Giderler!G$4:G$203),0)</f>
        <v>0</v>
      </c>
      <c r="F13" s="49" t="n">
        <f aca="false">IFERROR(SUMPRODUCT((Giderler!C$4:C$203="Mayıs")*(Giderler!I$4:I$203="Bekliyor")*(Giderler!H$4:H$203="TRY")*Giderler!G$4:G$203),0)</f>
        <v>0</v>
      </c>
      <c r="G13" s="49" t="n">
        <f aca="false">IFERROR(SUMPRODUCT((Giderler!C$4:C$203="Haziran")*(Giderler!I$4:I$203="Bekliyor")*(Giderler!H$4:H$203="TRY")*Giderler!G$4:G$203),0)</f>
        <v>0</v>
      </c>
      <c r="H13" s="49" t="n">
        <f aca="false">IFERROR(SUMPRODUCT((Giderler!C$4:C$203="Temmuz")*(Giderler!I$4:I$203="Bekliyor")*(Giderler!H$4:H$203="TRY")*Giderler!G$4:G$203),0)</f>
        <v>0</v>
      </c>
      <c r="I13" s="49" t="n">
        <f aca="false">IFERROR(SUMPRODUCT((Giderler!C$4:C$203="Ağustos")*(Giderler!I$4:I$203="Bekliyor")*(Giderler!H$4:H$203="TRY")*Giderler!G$4:G$203),0)</f>
        <v>0</v>
      </c>
      <c r="J13" s="49" t="n">
        <f aca="false">IFERROR(SUMPRODUCT((Giderler!C$4:C$203="Eylül")*(Giderler!I$4:I$203="Bekliyor")*(Giderler!H$4:H$203="TRY")*Giderler!G$4:G$203),0)</f>
        <v>0</v>
      </c>
      <c r="K13" s="49" t="n">
        <f aca="false">IFERROR(SUMPRODUCT((Giderler!C$4:C$203="Ekim")*(Giderler!I$4:I$203="Bekliyor")*(Giderler!H$4:H$203="TRY")*Giderler!G$4:G$203),0)</f>
        <v>0</v>
      </c>
      <c r="L13" s="49" t="n">
        <f aca="false">IFERROR(SUMPRODUCT((Giderler!C$4:C$203="Kasım")*(Giderler!I$4:I$203="Bekliyor")*(Giderler!H$4:H$203="TRY")*Giderler!G$4:G$203),0)</f>
        <v>0</v>
      </c>
      <c r="M13" s="49" t="n">
        <f aca="false">IFERROR(SUMPRODUCT((Giderler!C$4:C$203="Aralık")*(Giderler!I$4:I$203="Bekliyor")*(Giderler!H$4:H$203="TRY")*Giderler!G$4:G$203),0)</f>
        <v>0</v>
      </c>
      <c r="N13" s="42" t="n">
        <f aca="false">SUM(B13:M13)</f>
        <v>0</v>
      </c>
    </row>
    <row r="14" customFormat="false" ht="24" hidden="false" customHeight="true" outlineLevel="0" collapsed="false">
      <c r="A14" s="32"/>
    </row>
    <row r="15" customFormat="false" ht="24" hidden="false" customHeight="true" outlineLevel="0" collapsed="false">
      <c r="A15" s="50" t="s">
        <v>105</v>
      </c>
      <c r="B15" s="49" t="n">
        <f aca="false">IFERROR(SUMPRODUCT((Gelirler!C$4:C$203="Ocak")*(Gelirler!I$4:I$203="Tahsil Edildi")*(Gelirler!H$4:H$203="TRY")*Gelirler!G$4:G$203),0)</f>
        <v>0</v>
      </c>
      <c r="C15" s="49" t="n">
        <f aca="false">IFERROR(SUMPRODUCT((Gelirler!C$4:C$203="Şubat")*(Gelirler!I$4:I$203="Tahsil Edildi")*(Gelirler!H$4:H$203="TRY")*Gelirler!G$4:G$203),0)</f>
        <v>0</v>
      </c>
      <c r="D15" s="49" t="n">
        <f aca="false">IFERROR(SUMPRODUCT((Gelirler!C$4:C$203="Mart")*(Gelirler!I$4:I$203="Tahsil Edildi")*(Gelirler!H$4:H$203="TRY")*Gelirler!G$4:G$203),0)</f>
        <v>0</v>
      </c>
      <c r="E15" s="49" t="n">
        <f aca="false">IFERROR(SUMPRODUCT((Gelirler!C$4:C$203="Nisan")*(Gelirler!I$4:I$203="Tahsil Edildi")*(Gelirler!H$4:H$203="TRY")*Gelirler!G$4:G$203),0)</f>
        <v>0</v>
      </c>
      <c r="F15" s="49" t="n">
        <f aca="false">IFERROR(SUMPRODUCT((Gelirler!C$4:C$203="Mayıs")*(Gelirler!I$4:I$203="Tahsil Edildi")*(Gelirler!H$4:H$203="TRY")*Gelirler!G$4:G$203),0)</f>
        <v>0</v>
      </c>
      <c r="G15" s="49" t="n">
        <f aca="false">IFERROR(SUMPRODUCT((Gelirler!C$4:C$203="Haziran")*(Gelirler!I$4:I$203="Tahsil Edildi")*(Gelirler!H$4:H$203="TRY")*Gelirler!G$4:G$203),0)</f>
        <v>0</v>
      </c>
      <c r="H15" s="49" t="n">
        <f aca="false">IFERROR(SUMPRODUCT((Gelirler!C$4:C$203="Temmuz")*(Gelirler!I$4:I$203="Tahsil Edildi")*(Gelirler!H$4:H$203="TRY")*Gelirler!G$4:G$203),0)</f>
        <v>0</v>
      </c>
      <c r="I15" s="49" t="n">
        <f aca="false">IFERROR(SUMPRODUCT((Gelirler!C$4:C$203="Ağustos")*(Gelirler!I$4:I$203="Tahsil Edildi")*(Gelirler!H$4:H$203="TRY")*Gelirler!G$4:G$203),0)</f>
        <v>0</v>
      </c>
      <c r="J15" s="49" t="n">
        <f aca="false">IFERROR(SUMPRODUCT((Gelirler!C$4:C$203="Eylül")*(Gelirler!I$4:I$203="Tahsil Edildi")*(Gelirler!H$4:H$203="TRY")*Gelirler!G$4:G$203),0)</f>
        <v>0</v>
      </c>
      <c r="K15" s="49" t="n">
        <f aca="false">IFERROR(SUMPRODUCT((Gelirler!C$4:C$203="Ekim")*(Gelirler!I$4:I$203="Tahsil Edildi")*(Gelirler!H$4:H$203="TRY")*Gelirler!G$4:G$203),0)</f>
        <v>0</v>
      </c>
      <c r="L15" s="49" t="n">
        <f aca="false">IFERROR(SUMPRODUCT((Gelirler!C$4:C$203="Kasım")*(Gelirler!I$4:I$203="Tahsil Edildi")*(Gelirler!H$4:H$203="TRY")*Gelirler!G$4:G$203),0)</f>
        <v>0</v>
      </c>
      <c r="M15" s="49" t="n">
        <f aca="false">IFERROR(SUMPRODUCT((Gelirler!C$4:C$203="Aralık")*(Gelirler!I$4:I$203="Tahsil Edildi")*(Gelirler!H$4:H$203="TRY")*Gelirler!G$4:G$203),0)</f>
        <v>0</v>
      </c>
      <c r="N15" s="42" t="n">
        <f aca="false">SUM(B15:M15)</f>
        <v>0</v>
      </c>
    </row>
    <row r="16" customFormat="false" ht="24" hidden="false" customHeight="true" outlineLevel="0" collapsed="false">
      <c r="A16" s="51" t="s">
        <v>106</v>
      </c>
      <c r="B16" s="48" t="n">
        <f aca="false">IFERROR(SUMPRODUCT((Gelirler!C$4:C$203="Ocak")*(Gelirler!I$4:I$203="Bekliyor")*(Gelirler!H$4:H$203="TRY")*Gelirler!G$4:G$203),0)</f>
        <v>0</v>
      </c>
      <c r="C16" s="48" t="n">
        <f aca="false">IFERROR(SUMPRODUCT((Gelirler!C$4:C$203="Şubat")*(Gelirler!I$4:I$203="Bekliyor")*(Gelirler!H$4:H$203="TRY")*Gelirler!G$4:G$203),0)</f>
        <v>0</v>
      </c>
      <c r="D16" s="48" t="n">
        <f aca="false">IFERROR(SUMPRODUCT((Gelirler!C$4:C$203="Mart")*(Gelirler!I$4:I$203="Bekliyor")*(Gelirler!H$4:H$203="TRY")*Gelirler!G$4:G$203),0)</f>
        <v>0</v>
      </c>
      <c r="E16" s="48" t="n">
        <f aca="false">IFERROR(SUMPRODUCT((Gelirler!C$4:C$203="Nisan")*(Gelirler!I$4:I$203="Bekliyor")*(Gelirler!H$4:H$203="TRY")*Gelirler!G$4:G$203),0)</f>
        <v>0</v>
      </c>
      <c r="F16" s="48" t="n">
        <f aca="false">IFERROR(SUMPRODUCT((Gelirler!C$4:C$203="Mayıs")*(Gelirler!I$4:I$203="Bekliyor")*(Gelirler!H$4:H$203="TRY")*Gelirler!G$4:G$203),0)</f>
        <v>0</v>
      </c>
      <c r="G16" s="48" t="n">
        <f aca="false">IFERROR(SUMPRODUCT((Gelirler!C$4:C$203="Haziran")*(Gelirler!I$4:I$203="Bekliyor")*(Gelirler!H$4:H$203="TRY")*Gelirler!G$4:G$203),0)</f>
        <v>0</v>
      </c>
      <c r="H16" s="48" t="n">
        <f aca="false">IFERROR(SUMPRODUCT((Gelirler!C$4:C$203="Temmuz")*(Gelirler!I$4:I$203="Bekliyor")*(Gelirler!H$4:H$203="TRY")*Gelirler!G$4:G$203),0)</f>
        <v>0</v>
      </c>
      <c r="I16" s="48" t="n">
        <f aca="false">IFERROR(SUMPRODUCT((Gelirler!C$4:C$203="Ağustos")*(Gelirler!I$4:I$203="Bekliyor")*(Gelirler!H$4:H$203="TRY")*Gelirler!G$4:G$203),0)</f>
        <v>0</v>
      </c>
      <c r="J16" s="48" t="n">
        <f aca="false">IFERROR(SUMPRODUCT((Gelirler!C$4:C$203="Eylül")*(Gelirler!I$4:I$203="Bekliyor")*(Gelirler!H$4:H$203="TRY")*Gelirler!G$4:G$203),0)</f>
        <v>0</v>
      </c>
      <c r="K16" s="48" t="n">
        <f aca="false">IFERROR(SUMPRODUCT((Gelirler!C$4:C$203="Ekim")*(Gelirler!I$4:I$203="Bekliyor")*(Gelirler!H$4:H$203="TRY")*Gelirler!G$4:G$203),0)</f>
        <v>0</v>
      </c>
      <c r="L16" s="48" t="n">
        <f aca="false">IFERROR(SUMPRODUCT((Gelirler!C$4:C$203="Kasım")*(Gelirler!I$4:I$203="Bekliyor")*(Gelirler!H$4:H$203="TRY")*Gelirler!G$4:G$203),0)</f>
        <v>0</v>
      </c>
      <c r="M16" s="48" t="n">
        <f aca="false">IFERROR(SUMPRODUCT((Gelirler!C$4:C$203="Aralık")*(Gelirler!I$4:I$203="Bekliyor")*(Gelirler!H$4:H$203="TRY")*Gelirler!G$4:G$203),0)</f>
        <v>0</v>
      </c>
      <c r="N16" s="42" t="n">
        <f aca="false">SUM(B16:M16)</f>
        <v>0</v>
      </c>
    </row>
    <row r="18" customFormat="false" ht="15" hidden="false" customHeight="false" outlineLevel="0" collapsed="false">
      <c r="A18" s="52" t="s">
        <v>107</v>
      </c>
    </row>
  </sheetData>
  <mergeCells count="2">
    <mergeCell ref="A1:P1"/>
    <mergeCell ref="A2:P2"/>
  </mergeCells>
  <conditionalFormatting sqref="B6">
    <cfRule type="cellIs" priority="2" operator="lessThan" aboveAverage="0" equalAverage="0" bottom="0" percent="0" rank="0" text="" dxfId="3">
      <formula>0</formula>
    </cfRule>
    <cfRule type="cellIs" priority="3" operator="greaterThan" aboveAverage="0" equalAverage="0" bottom="0" percent="0" rank="0" text="" dxfId="4">
      <formula>0</formula>
    </cfRule>
  </conditionalFormatting>
  <conditionalFormatting sqref="C6">
    <cfRule type="cellIs" priority="4" operator="lessThan" aboveAverage="0" equalAverage="0" bottom="0" percent="0" rank="0" text="" dxfId="3">
      <formula>0</formula>
    </cfRule>
    <cfRule type="cellIs" priority="5" operator="greaterThan" aboveAverage="0" equalAverage="0" bottom="0" percent="0" rank="0" text="" dxfId="4">
      <formula>0</formula>
    </cfRule>
  </conditionalFormatting>
  <conditionalFormatting sqref="D6">
    <cfRule type="cellIs" priority="6" operator="lessThan" aboveAverage="0" equalAverage="0" bottom="0" percent="0" rank="0" text="" dxfId="3">
      <formula>0</formula>
    </cfRule>
    <cfRule type="cellIs" priority="7" operator="greaterThan" aboveAverage="0" equalAverage="0" bottom="0" percent="0" rank="0" text="" dxfId="4">
      <formula>0</formula>
    </cfRule>
  </conditionalFormatting>
  <conditionalFormatting sqref="E6">
    <cfRule type="cellIs" priority="8" operator="lessThan" aboveAverage="0" equalAverage="0" bottom="0" percent="0" rank="0" text="" dxfId="3">
      <formula>0</formula>
    </cfRule>
    <cfRule type="cellIs" priority="9" operator="greaterThan" aboveAverage="0" equalAverage="0" bottom="0" percent="0" rank="0" text="" dxfId="4">
      <formula>0</formula>
    </cfRule>
  </conditionalFormatting>
  <conditionalFormatting sqref="F6">
    <cfRule type="cellIs" priority="10" operator="lessThan" aboveAverage="0" equalAverage="0" bottom="0" percent="0" rank="0" text="" dxfId="3">
      <formula>0</formula>
    </cfRule>
    <cfRule type="cellIs" priority="11" operator="greaterThan" aboveAverage="0" equalAverage="0" bottom="0" percent="0" rank="0" text="" dxfId="4">
      <formula>0</formula>
    </cfRule>
  </conditionalFormatting>
  <conditionalFormatting sqref="G6">
    <cfRule type="cellIs" priority="12" operator="lessThan" aboveAverage="0" equalAverage="0" bottom="0" percent="0" rank="0" text="" dxfId="3">
      <formula>0</formula>
    </cfRule>
    <cfRule type="cellIs" priority="13" operator="greaterThan" aboveAverage="0" equalAverage="0" bottom="0" percent="0" rank="0" text="" dxfId="4">
      <formula>0</formula>
    </cfRule>
  </conditionalFormatting>
  <conditionalFormatting sqref="H6">
    <cfRule type="cellIs" priority="14" operator="lessThan" aboveAverage="0" equalAverage="0" bottom="0" percent="0" rank="0" text="" dxfId="3">
      <formula>0</formula>
    </cfRule>
    <cfRule type="cellIs" priority="15" operator="greaterThan" aboveAverage="0" equalAverage="0" bottom="0" percent="0" rank="0" text="" dxfId="4">
      <formula>0</formula>
    </cfRule>
  </conditionalFormatting>
  <conditionalFormatting sqref="I6">
    <cfRule type="cellIs" priority="16" operator="lessThan" aboveAverage="0" equalAverage="0" bottom="0" percent="0" rank="0" text="" dxfId="3">
      <formula>0</formula>
    </cfRule>
    <cfRule type="cellIs" priority="17" operator="greaterThan" aboveAverage="0" equalAverage="0" bottom="0" percent="0" rank="0" text="" dxfId="4">
      <formula>0</formula>
    </cfRule>
  </conditionalFormatting>
  <conditionalFormatting sqref="J6">
    <cfRule type="cellIs" priority="18" operator="lessThan" aboveAverage="0" equalAverage="0" bottom="0" percent="0" rank="0" text="" dxfId="3">
      <formula>0</formula>
    </cfRule>
    <cfRule type="cellIs" priority="19" operator="greaterThan" aboveAverage="0" equalAverage="0" bottom="0" percent="0" rank="0" text="" dxfId="4">
      <formula>0</formula>
    </cfRule>
  </conditionalFormatting>
  <conditionalFormatting sqref="K6">
    <cfRule type="cellIs" priority="20" operator="lessThan" aboveAverage="0" equalAverage="0" bottom="0" percent="0" rank="0" text="" dxfId="3">
      <formula>0</formula>
    </cfRule>
    <cfRule type="cellIs" priority="21" operator="greaterThan" aboveAverage="0" equalAverage="0" bottom="0" percent="0" rank="0" text="" dxfId="4">
      <formula>0</formula>
    </cfRule>
  </conditionalFormatting>
  <conditionalFormatting sqref="L6">
    <cfRule type="cellIs" priority="22" operator="lessThan" aboveAverage="0" equalAverage="0" bottom="0" percent="0" rank="0" text="" dxfId="3">
      <formula>0</formula>
    </cfRule>
    <cfRule type="cellIs" priority="23" operator="greaterThan" aboveAverage="0" equalAverage="0" bottom="0" percent="0" rank="0" text="" dxfId="4">
      <formula>0</formula>
    </cfRule>
  </conditionalFormatting>
  <conditionalFormatting sqref="M6">
    <cfRule type="cellIs" priority="24" operator="lessThan" aboveAverage="0" equalAverage="0" bottom="0" percent="0" rank="0" text="" dxfId="3">
      <formula>0</formula>
    </cfRule>
    <cfRule type="cellIs" priority="25" operator="greaterThan" aboveAverage="0" equalAverage="0" bottom="0" percent="0" rank="0" text="" dxfId="4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2026-04-22T15:29:57Z</dcterms:created>
  <dc:creator>openpyxl</dc:creator>
  <dc:description/>
  <dc:language>en-US</dc:language>
  <cp:lastModifiedBy/>
  <dcterms:modified xsi:type="dcterms:W3CDTF">2026-04-22T15:29:59Z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